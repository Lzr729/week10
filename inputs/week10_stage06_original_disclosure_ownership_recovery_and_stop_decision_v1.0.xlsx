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90ecc7e50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e4f0a3b7d0dd445b"/>
    <x:sheet xmlns:r="http://schemas.openxmlformats.org/officeDocument/2006/relationships" name="证据判定规则" sheetId="2" r:id="Recfe8c86377e47c4"/>
    <x:sheet xmlns:r="http://schemas.openxmlformats.org/officeDocument/2006/relationships" name="Stage5-6变化" sheetId="3" r:id="R5e48978ee5fc47f8"/>
    <x:sheet xmlns:r="http://schemas.openxmlformats.org/officeDocument/2006/relationships" name="八公司覆盖汇总" sheetId="4" r:id="Rbd12bd5682a54d19"/>
    <x:sheet xmlns:r="http://schemas.openxmlformats.org/officeDocument/2006/relationships" name="69路径最终状态" sheetId="5" r:id="R86e7550295e9450d"/>
    <x:sheet xmlns:r="http://schemas.openxmlformats.org/officeDocument/2006/relationships" name="27条唯一测量" sheetId="6" r:id="R3ffd74e1878d486d"/>
    <x:sheet xmlns:r="http://schemas.openxmlformats.org/officeDocument/2006/relationships" name="原始披露证据" sheetId="7" r:id="R71e29cd41a3d4e8b"/>
    <x:sheet xmlns:r="http://schemas.openxmlformats.org/officeDocument/2006/relationships" name="未解决停止项" sheetId="8" r:id="Rb2020cc3197a4928"/>
    <x:sheet xmlns:r="http://schemas.openxmlformats.org/officeDocument/2006/relationships" name="公司事件PEVC合计" sheetId="9" r:id="Rdc37c8ddfbab4797"/>
    <x:sheet xmlns:r="http://schemas.openxmlformats.org/officeDocument/2006/relationships" name="变量开发评估" sheetId="10" r:id="R31f24f4e61a44365"/>
    <x:sheet xmlns:r="http://schemas.openxmlformats.org/officeDocument/2006/relationships" name="下一阶段闸门" sheetId="11" r:id="Raeb714afc1874bc9"/>
    <x:sheet xmlns:r="http://schemas.openxmlformats.org/officeDocument/2006/relationships" name="验收检查" sheetId="12" r:id="R40d39db80220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%"/>
    <x:numFmt numFmtId="201" formatCode="0.00%"/>
    <x:numFmt numFmtId="202" formatCode="# ,##0.0"/>
    <x:numFmt numFmtId="203" formatCode="@"/>
  </x:numFmts>
  <x:fonts count="5">
    <x:font>
      <x:sz val="11"/>
      <x:name val="Carlito"/>
    </x:font>
    <x:font>
      <x:b/>
      <x:sz val="11"/>
      <x:color rgb="FFFFFFFF"/>
      <x:name val="SimSun"/>
    </x:font>
    <x:font>
      <x:i/>
      <x:sz val="11"/>
      <x:color rgb="FF4B5563"/>
      <x:name val="SimSun"/>
    </x:font>
    <x:font>
      <x:sz val="11"/>
      <x:color rgb="FF111827"/>
      <x:name val="SimSun"/>
    </x:font>
    <x:font>
      <x:b/>
      <x:sz val="11"/>
      <x:color rgb="FF9C5700"/>
      <x:name val="SimSun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47D75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1" fontId="3" fillId="0" borderId="3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2" fontId="3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3" fillId="0" borderId="1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203" fontId="3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5B21B6"/>
      </x:font>
      <x:fill>
        <x:patternFill patternType="solid">
          <x:bgColor rgb="FFE4DFEC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c8e791c5845b4" /><Relationship Type="http://schemas.openxmlformats.org/officeDocument/2006/relationships/theme" Target="/xl/theme/theme1.xml" Id="R0818f9f9fb3548ff" /><Relationship Type="http://schemas.microsoft.com/office/2022/11/relationships/FeaturePropertyBag" Target="/xl/featurePropertyBag/featurePropertyBag.xml" Id="Re282a4dfcba94574" /><Relationship Type="http://schemas.openxmlformats.org/officeDocument/2006/relationships/sharedStrings" Target="/xl/sharedStrings.xml" Id="R9bfe5137d2a44b4f" /><Relationship Type="http://schemas.openxmlformats.org/officeDocument/2006/relationships/worksheet" Target="/xl/worksheets/sheet1.xml" Id="Re4f0a3b7d0dd445b" /><Relationship Type="http://schemas.openxmlformats.org/officeDocument/2006/relationships/worksheet" Target="/xl/worksheets/sheet2.xml" Id="Recfe8c86377e47c4" /><Relationship Type="http://schemas.openxmlformats.org/officeDocument/2006/relationships/worksheet" Target="/xl/worksheets/sheet3.xml" Id="R5e48978ee5fc47f8" /><Relationship Type="http://schemas.openxmlformats.org/officeDocument/2006/relationships/worksheet" Target="/xl/worksheets/sheet4.xml" Id="Rbd12bd5682a54d19" /><Relationship Type="http://schemas.openxmlformats.org/officeDocument/2006/relationships/worksheet" Target="/xl/worksheets/sheet5.xml" Id="R86e7550295e9450d" /><Relationship Type="http://schemas.openxmlformats.org/officeDocument/2006/relationships/worksheet" Target="/xl/worksheets/sheet6.xml" Id="R3ffd74e1878d486d" /><Relationship Type="http://schemas.openxmlformats.org/officeDocument/2006/relationships/worksheet" Target="/xl/worksheets/sheet7.xml" Id="R71e29cd41a3d4e8b" /><Relationship Type="http://schemas.openxmlformats.org/officeDocument/2006/relationships/worksheet" Target="/xl/worksheets/sheet8.xml" Id="Rb2020cc3197a4928" /><Relationship Type="http://schemas.openxmlformats.org/officeDocument/2006/relationships/worksheet" Target="/xl/worksheets/sheet9.xml" Id="Rdc37c8ddfbab4797" /><Relationship Type="http://schemas.openxmlformats.org/officeDocument/2006/relationships/worksheet" Target="/xl/worksheets/sheet10.xml" Id="R31f24f4e61a44365" /><Relationship Type="http://schemas.openxmlformats.org/officeDocument/2006/relationships/worksheet" Target="/xl/worksheets/sheet11.xml" Id="Raeb714afc1874bc9" /><Relationship Type="http://schemas.openxmlformats.org/officeDocument/2006/relationships/worksheet" Target="/xl/worksheets/sheet12.xml" Id="R40d39db80220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9" hidden="0" customWidth="1"/>
    <x:col min="3" max="3" width="28" hidden="0" customWidth="1"/>
    <x:col min="4" max="4" width="29" hidden="0" customWidth="1"/>
    <x:col min="5" max="5" width="28" hidden="0" customWidth="1"/>
    <x:col min="6" max="6" width="29" hidden="0" customWidth="1"/>
    <x:col min="7" max="7" width="28" hidden="0" customWidth="1"/>
    <x:col min="8" max="8" width="55" hidden="0" customWidth="1"/>
  </x:cols>
  <x:sheetData>
    <x:row r="1" ht="30" customHeight="1">
      <x:c r="A1" s="3" t="str">
        <x:v>Week 10 · Stage 6 原始披露补证与停止决策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本阶段只追查Stage 5指定的三协2022定向发行和云汉2014—2015早期增资；有闭合证据则补值，无闭合证据则正式停止。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1" t="str">
        <x:v>项目</x:v>
      </x:c>
      <x:c r="B4" s="11" t="str">
        <x:v>结果</x:v>
      </x:c>
      <x:c r="C4" s="11" t="str">
        <x:v>项目</x:v>
      </x:c>
      <x:c r="D4" s="11" t="str">
        <x:v>结果</x:v>
      </x:c>
      <x:c r="E4" s="11" t="str">
        <x:v>项目</x:v>
      </x:c>
      <x:c r="F4" s="11" t="str">
        <x:v>结果</x:v>
      </x:c>
      <x:c r="G4" s="11" t="str">
        <x:v>项目</x:v>
      </x:c>
      <x:c r="H4" s="11" t="str">
        <x:v>结果</x:v>
      </x:c>
    </x:row>
    <x:row r="5" ht="44" customHeight="1">
      <x:c r="A5" s="19" t="str">
        <x:v>路径边</x:v>
      </x:c>
      <x:c r="B5" s="19" t="n">
        <x:v>69</x:v>
      </x:c>
      <x:c r="C5" s="19" t="str">
        <x:v>有比例路径行</x:v>
      </x:c>
      <x:c r="D5" s="19" t="n">
        <x:v>41</x:v>
      </x:c>
      <x:c r="E5" s="19" t="str">
        <x:v>唯一测量</x:v>
      </x:c>
      <x:c r="F5" s="19" t="n">
        <x:v>27</x:v>
      </x:c>
      <x:c r="G5" s="19" t="str">
        <x:v>确认PE/VC测量</x:v>
      </x:c>
      <x:c r="H5" s="19" t="n">
        <x:v>16</x:v>
      </x:c>
    </x:row>
    <x:row r="6" ht="44" customHeight="1">
      <x:c r="A6" s="20" t="str">
        <x:v>Stage 6新增有值路径</x:v>
      </x:c>
      <x:c r="B6" s="20" t="n">
        <x:v>14</x:v>
      </x:c>
      <x:c r="C6" s="20" t="str">
        <x:v>新增唯一测量</x:v>
      </x:c>
      <x:c r="D6" s="20" t="n">
        <x:v>9</x:v>
      </x:c>
      <x:c r="E6" s="20" t="str">
        <x:v>证据条目</x:v>
      </x:c>
      <x:c r="F6" s="20" t="n">
        <x:v>4</x:v>
      </x:c>
      <x:c r="G6" s="20" t="str">
        <x:v>正式停止项</x:v>
      </x:c>
      <x:c r="H6" s="20" t="n">
        <x:v>5</x:v>
      </x:c>
    </x:row>
    <x:row r="7" ht="44" customHeight="1">
      <x:c r="A7" s="20" t="str">
        <x:v>三协2022 PE/VC合计</x:v>
      </x:c>
      <x:c r="B7" s="26" t="n">
        <x:v>0.150142</x:v>
      </x:c>
      <x:c r="C7" s="20" t="str">
        <x:v>云汉2014首次PE/VC合计</x:v>
      </x:c>
      <x:c r="D7" s="26" t="n">
        <x:v>0.11</x:v>
      </x:c>
      <x:c r="E7" s="20" t="str">
        <x:v>云汉2014二次PE/VC合计</x:v>
      </x:c>
      <x:c r="F7" s="26" t="n">
        <x:v>0.135</x:v>
      </x:c>
      <x:c r="G7" s="20" t="str">
        <x:v>云汉2015完整合计</x:v>
      </x:c>
      <x:c r="H7" s="20"/>
    </x:row>
    <x:row r="8" ht="44" customHeight="1">
      <x:c r="A8" s="21" t="str">
        <x:v>结构性不适用</x:v>
      </x:c>
      <x:c r="B8" s="21" t="n">
        <x:v>9</x:v>
      </x:c>
      <x:c r="C8" s="21" t="str">
        <x:v>仍不可计算</x:v>
      </x:c>
      <x:c r="D8" s="21" t="n">
        <x:v>19</x:v>
      </x:c>
      <x:c r="E8" s="21" t="str">
        <x:v>冻结文件</x:v>
      </x:c>
      <x:c r="F8" s="21" t="str">
        <x:v>未修改</x:v>
      </x:c>
      <x:c r="G8" s="21" t="str">
        <x:v>验收</x:v>
      </x:c>
      <x:c r="H8" s="21" t="str">
        <x:v>16项</x:v>
      </x:c>
    </x:row>
    <x:row r="10" ht="42" customHeight="1">
      <x:c r="A10" s="25" t="str">
        <x:v>阶段结论：关键缺口获得实质修复——路径比例覆盖由27/69提升至41/69，唯一测量由18条增至27条。三协2022年两家PE/VC认购比例已闭合；云汉2014两次共同增资全部闭合，2015年仅丰利财富闭合。其余2015年B轮主体因缺同轮个体明细正式停止，不再以较晚股东快照倒推。下一阶段转入‘变量利用与价值开发’，不继续无期限追查同一资料。</x:v>
      </x:c>
      <x:c r="B10" s="25"/>
      <x:c r="C10" s="25"/>
      <x:c r="D10" s="25"/>
      <x:c r="E10" s="25"/>
      <x:c r="F10" s="25"/>
      <x:c r="G10" s="25"/>
      <x:c r="H10" s="25"/>
    </x:row>
    <x:row r="11" ht="42" customHeight="1">
      <x:c r="A11" s="25"/>
      <x:c r="B11" s="25"/>
      <x:c r="C11" s="25"/>
      <x:c r="D11" s="25"/>
      <x:c r="E11" s="25"/>
      <x:c r="F11" s="25"/>
      <x:c r="G11" s="25"/>
      <x:c r="H11" s="25"/>
    </x:row>
  </x:sheetData>
  <x:mergeCells>
    <x:mergeCell ref="A1:H1"/>
    <x:mergeCell ref="A2:H2"/>
    <x:mergeCell ref="A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1" hidden="0" customWidth="1"/>
    <x:col min="3" max="3" width="50" hidden="0" customWidth="1"/>
    <x:col min="4" max="4" width="55" hidden="0" customWidth="1"/>
    <x:col min="5" max="5" width="60" hidden="0" customWidth="1"/>
    <x:col min="6" max="6" width="40" hidden="0" customWidth="1"/>
  </x:cols>
  <x:sheetData>
    <x:row r="1" ht="30" customHeight="1">
      <x:c r="A1" s="3" t="str">
        <x:v>Stage 6证据判定规则</x:v>
      </x:c>
      <x:c r="B1" s="3"/>
      <x:c r="C1" s="3"/>
      <x:c r="D1" s="3"/>
      <x:c r="E1" s="3"/>
      <x:c r="F1" s="3"/>
    </x:row>
    <x:row r="2" ht="42" customHeight="1">
      <x:c r="A2" s="7" t="str">
        <x:v>只有投资者、个体数量和交易后总股本处于同一交易完成时点，或原文直接披露该时点比例，才允许补值。</x:v>
      </x:c>
      <x:c r="B2" s="7"/>
      <x:c r="C2" s="7"/>
      <x:c r="D2" s="7"/>
      <x:c r="E2" s="7"/>
      <x:c r="F2" s="7"/>
    </x:row>
    <x:row r="4" ht="36" customHeight="1">
      <x:c r="A4" s="11" t="str">
        <x:v>规则</x:v>
      </x:c>
      <x:c r="B4" s="11" t="str">
        <x:v>通过条件</x:v>
      </x:c>
      <x:c r="C4" s="11" t="str">
        <x:v>允许输出</x:v>
      </x:c>
      <x:c r="D4" s="11" t="str">
        <x:v>本阶段案例</x:v>
      </x:c>
      <x:c r="E4" s="11" t="str">
        <x:v>拒绝情形</x:v>
      </x:c>
      <x:c r="F4" s="11" t="str">
        <x:v>处理</x:v>
      </x:c>
    </x:row>
    <x:row r="5" ht="66" customHeight="1">
      <x:c r="A5" s="19" t="str">
        <x:v>R01</x:v>
      </x:c>
      <x:c r="B5" s="19" t="str">
        <x:v>同轮股权结构表列明个体注册资本和总注册资本</x:v>
      </x:c>
      <x:c r="C5" s="19" t="str">
        <x:v>披露比例+分子+分母</x:v>
      </x:c>
      <x:c r="D5" s="19" t="str">
        <x:v>云汉CE-004、CE-005</x:v>
      </x:c>
      <x:c r="E5" s="19" t="str">
        <x:v>只披露多人合计投资额</x:v>
      </x:c>
      <x:c r="F5" s="19" t="str">
        <x:v>保留null</x:v>
      </x:c>
    </x:row>
    <x:row r="6" ht="66" customHeight="1">
      <x:c r="A6" s="20" t="str">
        <x:v>R02</x:v>
      </x:c>
      <x:c r="B6" s="20" t="str">
        <x:v>法律意见书明确个体认缴额及增资后比例</x:v>
      </x:c>
      <x:c r="C6" s="20" t="str">
        <x:v>披露比例；数量用于复核</x:v>
      </x:c>
      <x:c r="D6" s="20" t="str">
        <x:v>云汉CE-007丰利财富</x:v>
      </x:c>
      <x:c r="E6" s="20" t="str">
        <x:v>仅有后续整体变更持股</x:v>
      </x:c>
      <x:c r="F6" s="20" t="str">
        <x:v>禁止倒推</x:v>
      </x:c>
    </x:row>
    <x:row r="7" ht="66" customHeight="1">
      <x:c r="A7" s="20" t="str">
        <x:v>R03</x:v>
      </x:c>
      <x:c r="B7" s="20" t="str">
        <x:v>发行对象分配表列明认购股数、发行后总股本和比例</x:v>
      </x:c>
      <x:c r="C7" s="20" t="str">
        <x:v>披露比例+股数闭合</x:v>
      </x:c>
      <x:c r="D7" s="20" t="str">
        <x:v>三协2022两家机构</x:v>
      </x:c>
      <x:c r="E7" s="20" t="str">
        <x:v>上市前较晚快照</x:v>
      </x:c>
      <x:c r="F7" s="20" t="str">
        <x:v>不用快照替代</x:v>
      </x:c>
    </x:row>
    <x:row r="8" ht="66" customHeight="1">
      <x:c r="A8" s="20" t="str">
        <x:v>R04</x:v>
      </x:c>
      <x:c r="B8" s="20" t="str">
        <x:v>同一投资者—事件有多条语义边</x:v>
      </x:c>
      <x:c r="C8" s="20" t="str">
        <x:v>共享measurement_id，仅canonical=1聚合</x:v>
      </x:c>
      <x:c r="D8" s="20" t="str">
        <x:v>云汉持股/增资重复边</x:v>
      </x:c>
      <x:c r="E8" s="20" t="str">
        <x:v>逐路径重复加总</x:v>
      </x:c>
      <x:c r="F8" s="20" t="str">
        <x:v>去重</x:v>
      </x:c>
    </x:row>
    <x:row r="9" ht="66" customHeight="1">
      <x:c r="A9" s="21" t="str">
        <x:v>R05</x:v>
      </x:c>
      <x:c r="B9" s="21" t="str">
        <x:v>原始资料检索后仍缺闭合字段</x:v>
      </x:c>
      <x:c r="C9" s="21" t="str">
        <x:v>正式停止项</x:v>
      </x:c>
      <x:c r="D9" s="21" t="str">
        <x:v>云汉CE-007其余5主体</x:v>
      </x:c>
      <x:c r="E9" s="21" t="str">
        <x:v>平均分摊、跨轮延用、按后续比例反推</x:v>
      </x:c>
      <x:c r="F9" s="21" t="str">
        <x:v>等待新证据再重启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9" hidden="0" customWidth="1"/>
    <x:col min="3" max="3" width="19" hidden="0" customWidth="1"/>
    <x:col min="4" max="4" width="19" hidden="0" customWidth="1"/>
    <x:col min="5" max="5" width="90" hidden="0" customWidth="1"/>
  </x:cols>
  <x:sheetData>
    <x:row r="1" ht="30" customHeight="1">
      <x:c r="A1" s="3" t="str">
        <x:v>Stage 5 → Stage 6变化</x:v>
      </x:c>
      <x:c r="B1" s="3"/>
      <x:c r="C1" s="3"/>
      <x:c r="D1" s="3"/>
      <x:c r="E1" s="3"/>
    </x:row>
    <x:row r="2" ht="42" customHeight="1">
      <x:c r="A2" s="7" t="str">
        <x:v>所有变化均位于Stage 6研究层；Stage 5、Week 8和Week 9保持只读。</x:v>
      </x:c>
      <x:c r="B2" s="7"/>
      <x:c r="C2" s="7"/>
      <x:c r="D2" s="7"/>
      <x:c r="E2" s="7"/>
    </x:row>
    <x:row r="4" ht="36" customHeight="1">
      <x:c r="A4" s="11" t="str">
        <x:v>指标</x:v>
      </x:c>
      <x:c r="B4" s="11" t="str">
        <x:v>Stage 5</x:v>
      </x:c>
      <x:c r="C4" s="11" t="str">
        <x:v>Stage 6</x:v>
      </x:c>
      <x:c r="D4" s="11" t="str">
        <x:v>变化</x:v>
      </x:c>
      <x:c r="E4" s="11" t="str">
        <x:v>解释</x:v>
      </x:c>
    </x:row>
    <x:row r="5" ht="54" customHeight="1">
      <x:c r="A5" s="19" t="str">
        <x:v>有比例路径行</x:v>
      </x:c>
      <x:c r="B5" s="19" t="n">
        <x:v>27</x:v>
      </x:c>
      <x:c r="C5" s="19" t="n">
        <x:v>41</x:v>
      </x:c>
      <x:c r="D5" s="19" t="n">
        <x:v>14</x:v>
      </x:c>
      <x:c r="E5" s="19" t="str">
        <x:v>云汉12条+三协2条</x:v>
      </x:c>
    </x:row>
    <x:row r="6" ht="54" customHeight="1">
      <x:c r="A6" s="20" t="str">
        <x:v>唯一投资者—事件测量</x:v>
      </x:c>
      <x:c r="B6" s="20" t="n">
        <x:v>18</x:v>
      </x:c>
      <x:c r="C6" s="20" t="n">
        <x:v>27</x:v>
      </x:c>
      <x:c r="D6" s="20" t="n">
        <x:v>9</x:v>
      </x:c>
      <x:c r="E6" s="20" t="str">
        <x:v>云汉7条+三协2条</x:v>
      </x:c>
    </x:row>
    <x:row r="7" ht="54" customHeight="1">
      <x:c r="A7" s="20" t="str">
        <x:v>确认PE/VC唯一测量</x:v>
      </x:c>
      <x:c r="B7" s="20" t="n">
        <x:v>10</x:v>
      </x:c>
      <x:c r="C7" s="20" t="n">
        <x:v>16</x:v>
      </x:c>
      <x:c r="D7" s="20" t="n">
        <x:v>6</x:v>
      </x:c>
      <x:c r="E7" s="20" t="str">
        <x:v>云汉2014四条+三协两条</x:v>
      </x:c>
    </x:row>
    <x:row r="8" ht="54" customHeight="1">
      <x:c r="A8" s="20" t="str">
        <x:v>原文核验后仍不可算</x:v>
      </x:c>
      <x:c r="B8" s="20" t="n">
        <x:v>2</x:v>
      </x:c>
      <x:c r="C8" s="20" t="n">
        <x:v>0</x:v>
      </x:c>
      <x:c r="D8" s="20" t="n">
        <x:v>-2</x:v>
      </x:c>
      <x:c r="E8" s="20" t="str">
        <x:v>三协两条已由发行分配表闭合</x:v>
      </x:c>
    </x:row>
    <x:row r="9" ht="54" customHeight="1">
      <x:c r="A9" s="20" t="str">
        <x:v>其他证据仍不可算</x:v>
      </x:c>
      <x:c r="B9" s="20" t="n">
        <x:v>31</x:v>
      </x:c>
      <x:c r="C9" s="20" t="n">
        <x:v>19</x:v>
      </x:c>
      <x:c r="D9" s="20" t="n">
        <x:v>-12</x:v>
      </x:c>
      <x:c r="E9" s="20" t="str">
        <x:v>云汉早期12条被恢复，其余19条保留null</x:v>
      </x:c>
    </x:row>
    <x:row r="10" ht="54" customHeight="1">
      <x:c r="A10" s="21" t="str">
        <x:v>结构性不适用</x:v>
      </x:c>
      <x:c r="B10" s="21" t="n">
        <x:v>9</x:v>
      </x:c>
      <x:c r="C10" s="21" t="n">
        <x:v>9</x:v>
      </x:c>
      <x:c r="D10" s="21" t="n">
        <x:v>0</x:v>
      </x:c>
      <x:c r="E10" s="21" t="str">
        <x:v>口径不变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55" hidden="0" customWidth="1"/>
  </x:cols>
  <x:sheetData>
    <x:row r="1" ht="30" customHeight="1">
      <x:c r="A1" s="3" t="str">
        <x:v>八家公司路径比例覆盖汇总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7" t="str">
        <x:v>覆盖率是既有路径行证据闭合度，不是公司融资质量评分。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6" customHeight="1">
      <x:c r="A4" s="11" t="str">
        <x:v>公司ID</x:v>
      </x:c>
      <x:c r="B4" s="11" t="str">
        <x:v>公司名称</x:v>
      </x:c>
      <x:c r="C4" s="11" t="str">
        <x:v>路径边</x:v>
      </x:c>
      <x:c r="D4" s="11" t="str">
        <x:v>直接边</x:v>
      </x:c>
      <x:c r="E4" s="11" t="str">
        <x:v>间接边</x:v>
      </x:c>
      <x:c r="F4" s="11" t="str">
        <x:v>有比例路径行</x:v>
      </x:c>
      <x:c r="G4" s="11" t="str">
        <x:v>唯一测量</x:v>
      </x:c>
      <x:c r="H4" s="11" t="str">
        <x:v>结构性N/A</x:v>
      </x:c>
      <x:c r="I4" s="11" t="str">
        <x:v>仍不可算</x:v>
      </x:c>
      <x:c r="J4" s="11" t="str">
        <x:v>覆盖率</x:v>
      </x:c>
      <x:c r="K4" s="11" t="str">
        <x:v>结论</x:v>
      </x:c>
    </x:row>
    <x:row r="5" ht="48" customHeight="1">
      <x:c r="A5" s="43" t="str">
        <x:v>301563</x:v>
      </x:c>
      <x:c r="B5" s="19" t="str">
        <x:v>云汉芯城</x:v>
      </x:c>
      <x:c r="C5" s="19" t="n">
        <x:v>65</x:v>
      </x:c>
      <x:c r="D5" s="19" t="n">
        <x:v>56</x:v>
      </x:c>
      <x:c r="E5" s="19" t="n">
        <x:v>9</x:v>
      </x:c>
      <x:c r="F5" s="19" t="n">
        <x:v>37</x:v>
      </x:c>
      <x:c r="G5" s="19" t="n">
        <x:v>23</x:v>
      </x:c>
      <x:c r="H5" s="19" t="n">
        <x:v>9</x:v>
      </x:c>
      <x:c r="I5" s="19" t="n">
        <x:v>19</x:v>
      </x:c>
      <x:c r="J5" s="27" t="n">
        <x:v>0.5692307692307692</x:v>
      </x:c>
      <x:c r="K5" s="19" t="str">
        <x:v>全部现有路径均有最终状态</x:v>
      </x:c>
    </x:row>
    <x:row r="6" ht="48" customHeight="1">
      <x:c r="A6" s="44" t="str">
        <x:v>001282</x:v>
      </x:c>
      <x:c r="B6" s="20" t="str">
        <x:v>三联锻造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0</x:v>
      </x:c>
      <x:c r="H6" s="20" t="n">
        <x:v>0</x:v>
      </x:c>
      <x:c r="I6" s="20" t="n">
        <x:v>0</x:v>
      </x:c>
      <x:c r="J6" s="28"/>
      <x:c r="K6" s="20" t="str">
        <x:v>标准路径层无记录，不等于没有投资者</x:v>
      </x:c>
    </x:row>
    <x:row r="7" ht="48" customHeight="1">
      <x:c r="A7" s="44" t="str">
        <x:v>301581</x:v>
      </x:c>
      <x:c r="B7" s="20" t="str">
        <x:v>黄山谷捷</x:v>
      </x:c>
      <x:c r="C7" s="20" t="n">
        <x:v>0</x:v>
      </x:c>
      <x:c r="D7" s="20" t="n">
        <x:v>0</x:v>
      </x:c>
      <x:c r="E7" s="20" t="n">
        <x:v>0</x:v>
      </x:c>
      <x:c r="F7" s="20" t="n">
        <x:v>0</x:v>
      </x:c>
      <x:c r="G7" s="20" t="n">
        <x:v>0</x:v>
      </x:c>
      <x:c r="H7" s="20" t="n">
        <x:v>0</x:v>
      </x:c>
      <x:c r="I7" s="20" t="n">
        <x:v>0</x:v>
      </x:c>
      <x:c r="J7" s="28"/>
      <x:c r="K7" s="20" t="str">
        <x:v>标准路径层无记录，不等于没有投资者</x:v>
      </x:c>
    </x:row>
    <x:row r="8" ht="48" customHeight="1">
      <x:c r="A8" s="44" t="str">
        <x:v>603418</x:v>
      </x:c>
      <x:c r="B8" s="20" t="str">
        <x:v>友升股份</x:v>
      </x:c>
      <x:c r="C8" s="20" t="n">
        <x:v>2</x:v>
      </x:c>
      <x:c r="D8" s="20" t="n">
        <x:v>2</x:v>
      </x:c>
      <x:c r="E8" s="20" t="n">
        <x:v>0</x:v>
      </x:c>
      <x:c r="F8" s="20" t="n">
        <x:v>2</x:v>
      </x:c>
      <x:c r="G8" s="20" t="n">
        <x:v>2</x:v>
      </x:c>
      <x:c r="H8" s="20" t="n">
        <x:v>0</x:v>
      </x:c>
      <x:c r="I8" s="20" t="n">
        <x:v>0</x:v>
      </x:c>
      <x:c r="J8" s="28" t="n">
        <x:v>1</x:v>
      </x:c>
      <x:c r="K8" s="20" t="str">
        <x:v>全部现有路径均有最终状态</x:v>
      </x:c>
    </x:row>
    <x:row r="9" ht="48" customHeight="1">
      <x:c r="A9" s="44" t="str">
        <x:v>688758</x:v>
      </x:c>
      <x:c r="B9" s="20" t="str">
        <x:v>赛分科技</x:v>
      </x:c>
      <x:c r="C9" s="20" t="n">
        <x:v>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8"/>
      <x:c r="K9" s="20" t="str">
        <x:v>标准路径层无记录，不等于没有投资者</x:v>
      </x:c>
    </x:row>
    <x:row r="10" ht="48" customHeight="1">
      <x:c r="A10" s="44" t="str">
        <x:v>688775</x:v>
      </x:c>
      <x:c r="B10" s="20" t="str">
        <x:v>影石创新</x:v>
      </x:c>
      <x:c r="C10" s="20" t="n">
        <x:v>0</x:v>
      </x:c>
      <x:c r="D10" s="20" t="n">
        <x:v>0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8"/>
      <x:c r="K10" s="20" t="str">
        <x:v>标准路径层无记录，不等于没有投资者</x:v>
      </x:c>
    </x:row>
    <x:row r="11" ht="48" customHeight="1">
      <x:c r="A11" s="44" t="str">
        <x:v>920100</x:v>
      </x:c>
      <x:c r="B11" s="20" t="str">
        <x:v>三协电机</x:v>
      </x:c>
      <x:c r="C11" s="20" t="n">
        <x:v>2</x:v>
      </x:c>
      <x:c r="D11" s="20" t="n">
        <x:v>2</x:v>
      </x:c>
      <x:c r="E11" s="20" t="n">
        <x:v>0</x:v>
      </x:c>
      <x:c r="F11" s="20" t="n">
        <x:v>2</x:v>
      </x:c>
      <x:c r="G11" s="20" t="n">
        <x:v>2</x:v>
      </x:c>
      <x:c r="H11" s="20" t="n">
        <x:v>0</x:v>
      </x:c>
      <x:c r="I11" s="20" t="n">
        <x:v>0</x:v>
      </x:c>
      <x:c r="J11" s="28" t="n">
        <x:v>1</x:v>
      </x:c>
      <x:c r="K11" s="20" t="str">
        <x:v>全部现有路径均有最终状态</x:v>
      </x:c>
    </x:row>
    <x:row r="12" ht="48" customHeight="1">
      <x:c r="A12" s="45" t="str">
        <x:v>920116</x:v>
      </x:c>
      <x:c r="B12" s="21" t="str">
        <x:v>星图测控</x:v>
      </x:c>
      <x:c r="C12" s="21" t="n">
        <x:v>0</x:v>
      </x:c>
      <x:c r="D12" s="21" t="n">
        <x:v>0</x:v>
      </x:c>
      <x:c r="E12" s="21" t="n">
        <x:v>0</x:v>
      </x:c>
      <x:c r="F12" s="21" t="n">
        <x:v>0</x:v>
      </x:c>
      <x:c r="G12" s="21" t="n">
        <x:v>0</x:v>
      </x:c>
      <x:c r="H12" s="21" t="n">
        <x:v>0</x:v>
      </x:c>
      <x:c r="I12" s="21" t="n">
        <x:v>0</x:v>
      </x:c>
      <x:c r="J12" s="29"/>
      <x:c r="K12" s="21" t="str">
        <x:v>标准路径层无记录，不等于没有投资者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8" hidden="0" customWidth="1"/>
    <x:col min="4" max="4" width="28" hidden="0" customWidth="1"/>
    <x:col min="5" max="5" width="31" hidden="0" customWidth="1"/>
    <x:col min="6" max="6" width="28" hidden="0" customWidth="1"/>
    <x:col min="7" max="7" width="43" hidden="0" customWidth="1"/>
    <x:col min="8" max="8" width="25" hidden="0" customWidth="1"/>
    <x:col min="9" max="9" width="27" hidden="0" customWidth="1"/>
    <x:col min="10" max="10" width="17" hidden="0" customWidth="1"/>
    <x:col min="11" max="11" width="20" hidden="0" customWidth="1"/>
    <x:col min="12" max="12" width="27" hidden="0" customWidth="1"/>
    <x:col min="13" max="13" width="31" hidden="0" customWidth="1"/>
    <x:col min="14" max="14" width="18" hidden="0" customWidth="1"/>
    <x:col min="15" max="15" width="44" hidden="0" customWidth="1"/>
    <x:col min="16" max="16" width="20" hidden="0" customWidth="1"/>
    <x:col min="17" max="17" width="39" hidden="0" customWidth="1"/>
    <x:col min="18" max="18" width="36" hidden="0" customWidth="1"/>
    <x:col min="19" max="19" width="18" hidden="0" customWidth="1"/>
    <x:col min="20" max="20" width="19" hidden="0" customWidth="1"/>
    <x:col min="21" max="21" width="21" hidden="0" customWidth="1"/>
    <x:col min="22" max="22" width="38" hidden="0" customWidth="1"/>
    <x:col min="23" max="23" width="19" hidden="0" customWidth="1"/>
    <x:col min="24" max="24" width="36" hidden="0" customWidth="1"/>
    <x:col min="25" max="25" width="16" hidden="0" customWidth="1"/>
    <x:col min="26" max="26" width="82" hidden="0" customWidth="1"/>
    <x:col min="27" max="27" width="82" hidden="0" customWidth="1"/>
  </x:cols>
  <x:sheetData>
    <x:row r="1" ht="30" customHeight="1">
      <x:c r="A1" s="3" t="str">
        <x:v>69条投资路径最终状态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42" customHeight="1">
      <x:c r="A2" s="7" t="str">
        <x:v>41条路径有交易时点比例，19条证据不足，9条结构性不适用；比例统计必须按measurement_id和聚合保留字段去重。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4" ht="36" customHeight="1">
      <x:c r="A4" s="11" t="str">
        <x:v>公司ID</x:v>
      </x:c>
      <x:c r="B4" s="11" t="str">
        <x:v>公司名称</x:v>
      </x:c>
      <x:c r="C4" s="11" t="str">
        <x:v>路径边ID</x:v>
      </x:c>
      <x:c r="D4" s="11" t="str">
        <x:v>路径ID</x:v>
      </x:c>
      <x:c r="E4" s="11" t="str">
        <x:v>来源层</x:v>
      </x:c>
      <x:c r="F4" s="11" t="str">
        <x:v>投资者实体ID</x:v>
      </x:c>
      <x:c r="G4" s="11" t="str">
        <x:v>投资者名称</x:v>
      </x:c>
      <x:c r="H4" s="11" t="str">
        <x:v>PE/VC状态</x:v>
      </x:c>
      <x:c r="I4" s="11" t="str">
        <x:v>边类型</x:v>
      </x:c>
      <x:c r="J4" s="11" t="str">
        <x:v>直接/间接</x:v>
      </x:c>
      <x:c r="K4" s="11" t="str">
        <x:v>投资层级</x:v>
      </x:c>
      <x:c r="L4" s="11" t="str">
        <x:v>事件ID</x:v>
      </x:c>
      <x:c r="M4" s="11" t="str">
        <x:v>交易ID</x:v>
      </x:c>
      <x:c r="N4" s="11" t="str">
        <x:v>交易日期</x:v>
      </x:c>
      <x:c r="O4" s="11" t="str">
        <x:v>比例状态</x:v>
      </x:c>
      <x:c r="P4" s="11" t="str">
        <x:v>交易后持股比例</x:v>
      </x:c>
      <x:c r="Q4" s="11" t="str">
        <x:v>测量ID</x:v>
      </x:c>
      <x:c r="R4" s="11" t="str">
        <x:v>方法</x:v>
      </x:c>
      <x:c r="S4" s="11" t="str">
        <x:v>分子</x:v>
      </x:c>
      <x:c r="T4" s="11" t="str">
        <x:v>分母</x:v>
      </x:c>
      <x:c r="U4" s="11" t="str">
        <x:v>数量口径</x:v>
      </x:c>
      <x:c r="V4" s="11" t="str">
        <x:v>证据ID</x:v>
      </x:c>
      <x:c r="W4" s="11" t="str">
        <x:v>PDF页</x:v>
      </x:c>
      <x:c r="X4" s="11" t="str">
        <x:v>证据等级</x:v>
      </x:c>
      <x:c r="Y4" s="11" t="str">
        <x:v>聚合保留</x:v>
      </x:c>
      <x:c r="Z4" s="11" t="str">
        <x:v>判断依据</x:v>
      </x:c>
      <x:c r="AA4" s="11" t="str">
        <x:v>解释边界</x:v>
      </x:c>
    </x:row>
    <x:row r="5" ht="54" customHeight="1">
      <x:c r="A5" s="43" t="str">
        <x:v>301563</x:v>
      </x:c>
      <x:c r="B5" s="19" t="str">
        <x:v>云汉芯城</x:v>
      </x:c>
      <x:c r="C5" s="19" t="str">
        <x:v>EDGE-001</x:v>
      </x:c>
      <x:c r="D5" s="19" t="str">
        <x:v>PATH-001</x:v>
      </x:c>
      <x:c r="E5" s="19" t="str">
        <x:v>WEEK8_FROZEN</x:v>
      </x:c>
      <x:c r="F5" s="19" t="str">
        <x:v>ENT-004</x:v>
      </x:c>
      <x:c r="G5" s="19" t="str">
        <x:v>宁波为赛咨询管理中心（有限合伙）</x:v>
      </x:c>
      <x:c r="H5" s="19" t="str">
        <x:v>PEVC_EXCLUDED</x:v>
      </x:c>
      <x:c r="I5" s="19" t="str">
        <x:v>EQUITY_HOLDING</x:v>
      </x:c>
      <x:c r="J5" s="19" t="str">
        <x:v>DIRECT</x:v>
      </x:c>
      <x:c r="K5" s="19" t="str">
        <x:v>ISSUER_LEVEL</x:v>
      </x:c>
      <x:c r="L5" s="19" t="str">
        <x:v>CE-003</x:v>
      </x:c>
      <x:c r="M5" s="19"/>
      <x:c r="N5" s="19" t="str">
        <x:v>2014-06</x:v>
      </x:c>
      <x:c r="O5" s="19" t="str">
        <x:v>EXPLICIT_DISCLOSED_RATIO</x:v>
      </x:c>
      <x:c r="P5" s="30" t="n">
        <x:v>0.0685</x:v>
      </x:c>
      <x:c r="Q5" s="19" t="str">
        <x:v>M-301563-CE003-WEISAI</x:v>
      </x:c>
      <x:c r="R5" s="19" t="str">
        <x:v>EXPLICIT_DISCLOSED_RATIO</x:v>
      </x:c>
      <x:c r="S5" s="19"/>
      <x:c r="T5" s="19"/>
      <x:c r="U5" s="19" t="str">
        <x:v>不适用</x:v>
      </x:c>
      <x:c r="V5" s="19" t="str">
        <x:v>CE-003-E02</x:v>
      </x:c>
      <x:c r="W5" s="19" t="str">
        <x:v>56</x:v>
      </x:c>
      <x:c r="X5" s="19" t="str">
        <x:v>ORIGINAL_PROSPECTUS_VERIFIED</x:v>
      </x:c>
      <x:c r="Y5" s="19" t="n">
        <x:v>1</x:v>
      </x:c>
      <x:c r="Z5" s="19" t="str">
        <x:v>原文直接披露受让6.85%股权。</x:v>
      </x:c>
      <x:c r="AA5" s="19" t="str">
        <x:v>可进入唯一测量层；不回写冻结文件</x:v>
      </x:c>
    </x:row>
    <x:row r="6" ht="54" customHeight="1">
      <x:c r="A6" s="44" t="str">
        <x:v>301563</x:v>
      </x:c>
      <x:c r="B6" s="20" t="str">
        <x:v>云汉芯城</x:v>
      </x:c>
      <x:c r="C6" s="20" t="str">
        <x:v>EDGE-002</x:v>
      </x:c>
      <x:c r="D6" s="20" t="str">
        <x:v>PATH-002</x:v>
      </x:c>
      <x:c r="E6" s="20" t="str">
        <x:v>WEEK8_FROZEN</x:v>
      </x:c>
      <x:c r="F6" s="20" t="str">
        <x:v>ENT-005</x:v>
      </x:c>
      <x:c r="G6" s="20" t="str">
        <x:v>武汉力源信息技术股份有限公司</x:v>
      </x:c>
      <x:c r="H6" s="20" t="str">
        <x:v>PEVC_EXCLUDED</x:v>
      </x:c>
      <x:c r="I6" s="20" t="str">
        <x:v>EQUITY_HOLDING</x:v>
      </x:c>
      <x:c r="J6" s="20" t="str">
        <x:v>DIRECT</x:v>
      </x:c>
      <x:c r="K6" s="20" t="str">
        <x:v>ISSUER_LEVEL</x:v>
      </x:c>
      <x:c r="L6" s="20" t="str">
        <x:v>CE-004</x:v>
      </x:c>
      <x:c r="M6" s="20"/>
      <x:c r="N6" s="20" t="str">
        <x:v>2014-08</x:v>
      </x:c>
      <x:c r="O6" s="20" t="str">
        <x:v>EXPLICIT_DISCLOSED_RATIO</x:v>
      </x:c>
      <x:c r="P6" s="26" t="n">
        <x:v>0.11</x:v>
      </x:c>
      <x:c r="Q6" s="20" t="str">
        <x:v>M-301563-CE004-LIYUAN</x:v>
      </x:c>
      <x:c r="R6" s="20" t="str">
        <x:v>EXPLICIT_DISCLOSED_RATIO</x:v>
      </x:c>
      <x:c r="S6" s="20" t="n">
        <x:v>141025</x:v>
      </x:c>
      <x:c r="T6" s="20" t="n">
        <x:v>1282050</x:v>
      </x:c>
      <x:c r="U6" s="20" t="str">
        <x:v>注册资本（元）</x:v>
      </x:c>
      <x:c r="V6" s="20" t="str">
        <x:v>S6-YH-2014-LY-ANN</x:v>
      </x:c>
      <x:c r="W6" s="20" t="str">
        <x:v>PDF第5页</x:v>
      </x:c>
      <x:c r="X6" s="20" t="str">
        <x:v>ORIGINAL_LISTED_COMPANY_DISCLOSURE</x:v>
      </x:c>
      <x:c r="Y6" s="20" t="n">
        <x:v>1</x:v>
      </x:c>
      <x:c r="Z6" s="20" t="str">
        <x:v>首次增资后股权结构表直接披露11.00%。</x:v>
      </x:c>
      <x:c r="AA6" s="20" t="str">
        <x:v>可进入唯一测量层；不回写冻结文件</x:v>
      </x:c>
    </x:row>
    <x:row r="7" ht="54" customHeight="1">
      <x:c r="A7" s="44" t="str">
        <x:v>301563</x:v>
      </x:c>
      <x:c r="B7" s="20" t="str">
        <x:v>云汉芯城</x:v>
      </x:c>
      <x:c r="C7" s="20" t="str">
        <x:v>EDGE-003</x:v>
      </x:c>
      <x:c r="D7" s="20" t="str">
        <x:v>PATH-003</x:v>
      </x:c>
      <x:c r="E7" s="20" t="str">
        <x:v>WEEK8_FROZEN</x:v>
      </x:c>
      <x:c r="F7" s="20" t="str">
        <x:v>ENT-006</x:v>
      </x:c>
      <x:c r="G7" s="20" t="str">
        <x:v>东方富海（上海）创业投资企业（有限合伙）</x:v>
      </x:c>
      <x:c r="H7" s="20" t="str">
        <x:v>PEVC_CONFIRMED</x:v>
      </x:c>
      <x:c r="I7" s="20" t="str">
        <x:v>EQUITY_HOLDING</x:v>
      </x:c>
      <x:c r="J7" s="20" t="str">
        <x:v>DIRECT</x:v>
      </x:c>
      <x:c r="K7" s="20" t="str">
        <x:v>ISSUER_LEVEL</x:v>
      </x:c>
      <x:c r="L7" s="20" t="str">
        <x:v>CE-004</x:v>
      </x:c>
      <x:c r="M7" s="20"/>
      <x:c r="N7" s="20" t="str">
        <x:v>2014-08</x:v>
      </x:c>
      <x:c r="O7" s="20" t="str">
        <x:v>EXPLICIT_DISCLOSED_RATIO</x:v>
      </x:c>
      <x:c r="P7" s="26" t="n">
        <x:v>0.055</x:v>
      </x:c>
      <x:c r="Q7" s="20" t="str">
        <x:v>M-301563-CE004-DFH</x:v>
      </x:c>
      <x:c r="R7" s="20" t="str">
        <x:v>EXPLICIT_DISCLOSED_RATIO</x:v>
      </x:c>
      <x:c r="S7" s="20" t="n">
        <x:v>70512.5</x:v>
      </x:c>
      <x:c r="T7" s="20" t="n">
        <x:v>1282050</x:v>
      </x:c>
      <x:c r="U7" s="20" t="str">
        <x:v>注册资本（元）</x:v>
      </x:c>
      <x:c r="V7" s="20" t="str">
        <x:v>S6-YH-2014-LY-ANN</x:v>
      </x:c>
      <x:c r="W7" s="20" t="str">
        <x:v>PDF第5页</x:v>
      </x:c>
      <x:c r="X7" s="20" t="str">
        <x:v>ORIGINAL_LISTED_COMPANY_DISCLOSURE</x:v>
      </x:c>
      <x:c r="Y7" s="20" t="n">
        <x:v>1</x:v>
      </x:c>
      <x:c r="Z7" s="20" t="str">
        <x:v>首次增资后股权结构表直接披露5.50%。</x:v>
      </x:c>
      <x:c r="AA7" s="20" t="str">
        <x:v>可进入唯一测量层；不回写冻结文件</x:v>
      </x:c>
    </x:row>
    <x:row r="8" ht="54" customHeight="1">
      <x:c r="A8" s="44" t="str">
        <x:v>301563</x:v>
      </x:c>
      <x:c r="B8" s="20" t="str">
        <x:v>云汉芯城</x:v>
      </x:c>
      <x:c r="C8" s="20" t="str">
        <x:v>EDGE-004</x:v>
      </x:c>
      <x:c r="D8" s="20" t="str">
        <x:v>PATH-004</x:v>
      </x:c>
      <x:c r="E8" s="20" t="str">
        <x:v>WEEK8_FROZEN</x:v>
      </x:c>
      <x:c r="F8" s="20" t="str">
        <x:v>ENT-007</x:v>
      </x:c>
      <x:c r="G8" s="20" t="str">
        <x:v>芜湖富海浩研创业投资基金（有限合伙）</x:v>
      </x:c>
      <x:c r="H8" s="20" t="str">
        <x:v>PEVC_CONFIRMED</x:v>
      </x:c>
      <x:c r="I8" s="20" t="str">
        <x:v>EQUITY_HOLDING</x:v>
      </x:c>
      <x:c r="J8" s="20" t="str">
        <x:v>DIRECT</x:v>
      </x:c>
      <x:c r="K8" s="20" t="str">
        <x:v>ISSUER_LEVEL</x:v>
      </x:c>
      <x:c r="L8" s="20" t="str">
        <x:v>CE-004</x:v>
      </x:c>
      <x:c r="M8" s="20"/>
      <x:c r="N8" s="20" t="str">
        <x:v>2014-08</x:v>
      </x:c>
      <x:c r="O8" s="20" t="str">
        <x:v>EXPLICIT_DISCLOSED_RATIO</x:v>
      </x:c>
      <x:c r="P8" s="26" t="n">
        <x:v>0.055</x:v>
      </x:c>
      <x:c r="Q8" s="20" t="str">
        <x:v>M-301563-CE004-WHFH</x:v>
      </x:c>
      <x:c r="R8" s="20" t="str">
        <x:v>EXPLICIT_DISCLOSED_RATIO</x:v>
      </x:c>
      <x:c r="S8" s="20" t="n">
        <x:v>70512.5</x:v>
      </x:c>
      <x:c r="T8" s="20" t="n">
        <x:v>1282050</x:v>
      </x:c>
      <x:c r="U8" s="20" t="str">
        <x:v>注册资本（元）</x:v>
      </x:c>
      <x:c r="V8" s="20" t="str">
        <x:v>S6-YH-2014-LY-ANN</x:v>
      </x:c>
      <x:c r="W8" s="20" t="str">
        <x:v>PDF第5页</x:v>
      </x:c>
      <x:c r="X8" s="20" t="str">
        <x:v>ORIGINAL_LISTED_COMPANY_DISCLOSURE</x:v>
      </x:c>
      <x:c r="Y8" s="20" t="n">
        <x:v>1</x:v>
      </x:c>
      <x:c r="Z8" s="20" t="str">
        <x:v>首次增资后股权结构表直接披露5.50%。</x:v>
      </x:c>
      <x:c r="AA8" s="20" t="str">
        <x:v>可进入唯一测量层；不回写冻结文件</x:v>
      </x:c>
    </x:row>
    <x:row r="9" ht="54" customHeight="1">
      <x:c r="A9" s="44" t="str">
        <x:v>301563</x:v>
      </x:c>
      <x:c r="B9" s="20" t="str">
        <x:v>云汉芯城</x:v>
      </x:c>
      <x:c r="C9" s="20" t="str">
        <x:v>EDGE-005</x:v>
      </x:c>
      <x:c r="D9" s="20" t="str">
        <x:v>PATH-005</x:v>
      </x:c>
      <x:c r="E9" s="20" t="str">
        <x:v>WEEK8_FROZEN</x:v>
      </x:c>
      <x:c r="F9" s="20" t="str">
        <x:v>ENT-008</x:v>
      </x:c>
      <x:c r="G9" s="20" t="str">
        <x:v>深圳市创新投资集团有限公司</x:v>
      </x:c>
      <x:c r="H9" s="20" t="str">
        <x:v>PEVC_CANDIDATE</x:v>
      </x:c>
      <x:c r="I9" s="20" t="str">
        <x:v>EQUITY_HOLDING</x:v>
      </x:c>
      <x:c r="J9" s="20" t="str">
        <x:v>DIRECT</x:v>
      </x:c>
      <x:c r="K9" s="20" t="str">
        <x:v>ISSUER_LEVEL</x:v>
      </x:c>
      <x:c r="L9" s="20" t="str">
        <x:v>CE-007</x:v>
      </x:c>
      <x:c r="M9" s="20"/>
      <x:c r="N9" s="20" t="str">
        <x:v>2015-08</x:v>
      </x:c>
      <x:c r="O9" s="20" t="str">
        <x:v>NOT_COMPUTABLE_RETAINED_EVIDENCE</x:v>
      </x:c>
      <x:c r="P9" s="26"/>
      <x:c r="Q9" s="20"/>
      <x:c r="R9" s="20"/>
      <x:c r="S9" s="20"/>
      <x:c r="T9" s="20"/>
      <x:c r="U9" s="20" t="str">
        <x:v>不适用</x:v>
      </x:c>
      <x:c r="V9" s="20" t="str">
        <x:v>EVD-003</x:v>
      </x:c>
      <x:c r="W9" s="20" t="str">
        <x:v>57</x:v>
      </x:c>
      <x:c r="X9" s="20" t="str">
        <x:v>ORIGINAL_EXCERPT_RETAINED</x:v>
      </x:c>
      <x:c r="Y9" s="20" t="n">
        <x:v>0</x:v>
      </x:c>
      <x:c r="Z9" s="20"/>
      <x:c r="AA9" s="20" t="str">
        <x:v>原文仍不足以在同一交易时点闭合比例；保留null。</x:v>
      </x:c>
    </x:row>
    <x:row r="10" ht="54" customHeight="1">
      <x:c r="A10" s="44" t="str">
        <x:v>301563</x:v>
      </x:c>
      <x:c r="B10" s="20" t="str">
        <x:v>云汉芯城</x:v>
      </x:c>
      <x:c r="C10" s="20" t="str">
        <x:v>EDGE-006</x:v>
      </x:c>
      <x:c r="D10" s="20" t="str">
        <x:v>PATH-006</x:v>
      </x:c>
      <x:c r="E10" s="20" t="str">
        <x:v>WEEK8_FROZEN</x:v>
      </x:c>
      <x:c r="F10" s="20" t="str">
        <x:v>ENT-009</x:v>
      </x:c>
      <x:c r="G10" s="20" t="str">
        <x:v>丰利财富（北京）国际资本管理股份有限公司</x:v>
      </x:c>
      <x:c r="H10" s="20" t="str">
        <x:v>PEVC_RELATED</x:v>
      </x:c>
      <x:c r="I10" s="20" t="str">
        <x:v>EQUITY_HOLDING</x:v>
      </x:c>
      <x:c r="J10" s="20" t="str">
        <x:v>DIRECT</x:v>
      </x:c>
      <x:c r="K10" s="20" t="str">
        <x:v>ISSUER_LEVEL</x:v>
      </x:c>
      <x:c r="L10" s="20" t="str">
        <x:v>CE-007</x:v>
      </x:c>
      <x:c r="M10" s="20"/>
      <x:c r="N10" s="20" t="str">
        <x:v>2015-08</x:v>
      </x:c>
      <x:c r="O10" s="20" t="str">
        <x:v>EXPLICIT_DISCLOSED_RATIO</x:v>
      </x:c>
      <x:c r="P10" s="26" t="n">
        <x:v>0.016667</x:v>
      </x:c>
      <x:c r="Q10" s="20" t="str">
        <x:v>M-301563-CE007-FENGLI</x:v>
      </x:c>
      <x:c r="R10" s="20" t="str">
        <x:v>EXPLICIT_DISCLOSED_RATIO</x:v>
      </x:c>
      <x:c r="S10" s="20" t="n">
        <x:v>359712</x:v>
      </x:c>
      <x:c r="T10" s="20" t="n">
        <x:v>21582733</x:v>
      </x:c>
      <x:c r="U10" s="20" t="str">
        <x:v>注册资本（元）</x:v>
      </x:c>
      <x:c r="V10" s="20" t="str">
        <x:v>S6-YH-2015-FL-LEGAL</x:v>
      </x:c>
      <x:c r="W10" s="20" t="str">
        <x:v>PDF第186页</x:v>
      </x:c>
      <x:c r="X10" s="20" t="str">
        <x:v>ORIGINAL_LEGAL_OPINION</x:v>
      </x:c>
      <x:c r="Y10" s="20" t="n">
        <x:v>1</x:v>
      </x:c>
      <x:c r="Z10" s="20" t="str">
        <x:v>法律意见书直接披露丰利财富认缴35.9712万元并在该次增资后持股1.6667%。</x:v>
      </x:c>
      <x:c r="AA10" s="20" t="str">
        <x:v>可进入唯一测量层；不回写冻结文件</x:v>
      </x:c>
    </x:row>
    <x:row r="11" ht="54" customHeight="1">
      <x:c r="A11" s="44" t="str">
        <x:v>301563</x:v>
      </x:c>
      <x:c r="B11" s="20" t="str">
        <x:v>云汉芯城</x:v>
      </x:c>
      <x:c r="C11" s="20" t="str">
        <x:v>EDGE-007</x:v>
      </x:c>
      <x:c r="D11" s="20" t="str">
        <x:v>PATH-007</x:v>
      </x:c>
      <x:c r="E11" s="20" t="str">
        <x:v>WEEK8_FROZEN</x:v>
      </x:c>
      <x:c r="F11" s="20" t="str">
        <x:v>ENT-010</x:v>
      </x:c>
      <x:c r="G11" s="20" t="str">
        <x:v>镇江红土创业投资有限公司</x:v>
      </x:c>
      <x:c r="H11" s="20" t="str">
        <x:v>PEVC_CANDIDATE</x:v>
      </x:c>
      <x:c r="I11" s="20" t="str">
        <x:v>EQUITY_HOLDING</x:v>
      </x:c>
      <x:c r="J11" s="20" t="str">
        <x:v>DIRECT</x:v>
      </x:c>
      <x:c r="K11" s="20" t="str">
        <x:v>ISSUER_LEVEL</x:v>
      </x:c>
      <x:c r="L11" s="20" t="str">
        <x:v>CE-007</x:v>
      </x:c>
      <x:c r="M11" s="20"/>
      <x:c r="N11" s="20" t="str">
        <x:v>2015-08</x:v>
      </x:c>
      <x:c r="O11" s="20" t="str">
        <x:v>NOT_COMPUTABLE_RETAINED_EVIDENCE</x:v>
      </x:c>
      <x:c r="P11" s="26"/>
      <x:c r="Q11" s="20"/>
      <x:c r="R11" s="20"/>
      <x:c r="S11" s="20"/>
      <x:c r="T11" s="20"/>
      <x:c r="U11" s="20" t="str">
        <x:v>不适用</x:v>
      </x:c>
      <x:c r="V11" s="20" t="str">
        <x:v>EVD-003</x:v>
      </x:c>
      <x:c r="W11" s="20" t="str">
        <x:v>57</x:v>
      </x:c>
      <x:c r="X11" s="20" t="str">
        <x:v>ORIGINAL_EXCERPT_RETAINED</x:v>
      </x:c>
      <x:c r="Y11" s="20" t="n">
        <x:v>0</x:v>
      </x:c>
      <x:c r="Z11" s="20"/>
      <x:c r="AA11" s="20" t="str">
        <x:v>原文仍不足以在同一交易时点闭合比例；保留null。</x:v>
      </x:c>
    </x:row>
    <x:row r="12" ht="54" customHeight="1">
      <x:c r="A12" s="44" t="str">
        <x:v>301563</x:v>
      </x:c>
      <x:c r="B12" s="20" t="str">
        <x:v>云汉芯城</x:v>
      </x:c>
      <x:c r="C12" s="20" t="str">
        <x:v>EDGE-008</x:v>
      </x:c>
      <x:c r="D12" s="20" t="str">
        <x:v>PATH-008</x:v>
      </x:c>
      <x:c r="E12" s="20" t="str">
        <x:v>WEEK8_FROZEN</x:v>
      </x:c>
      <x:c r="F12" s="20" t="str">
        <x:v>ENT-011</x:v>
      </x:c>
      <x:c r="G12" s="20" t="str">
        <x:v>昆山红土高新创业投资有限公司</x:v>
      </x:c>
      <x:c r="H12" s="20" t="str">
        <x:v>PEVC_CANDIDATE</x:v>
      </x:c>
      <x:c r="I12" s="20" t="str">
        <x:v>EQUITY_HOLDING</x:v>
      </x:c>
      <x:c r="J12" s="20" t="str">
        <x:v>DIRECT</x:v>
      </x:c>
      <x:c r="K12" s="20" t="str">
        <x:v>ISSUER_LEVEL</x:v>
      </x:c>
      <x:c r="L12" s="20" t="str">
        <x:v>CE-007</x:v>
      </x:c>
      <x:c r="M12" s="20"/>
      <x:c r="N12" s="20" t="str">
        <x:v>2015-08</x:v>
      </x:c>
      <x:c r="O12" s="20" t="str">
        <x:v>NOT_COMPUTABLE_RETAINED_EVIDENCE</x:v>
      </x:c>
      <x:c r="P12" s="26"/>
      <x:c r="Q12" s="20"/>
      <x:c r="R12" s="20"/>
      <x:c r="S12" s="20"/>
      <x:c r="T12" s="20"/>
      <x:c r="U12" s="20" t="str">
        <x:v>不适用</x:v>
      </x:c>
      <x:c r="V12" s="20" t="str">
        <x:v>EVD-003</x:v>
      </x:c>
      <x:c r="W12" s="20" t="str">
        <x:v>57</x:v>
      </x:c>
      <x:c r="X12" s="20" t="str">
        <x:v>ORIGINAL_EXCERPT_RETAINED</x:v>
      </x:c>
      <x:c r="Y12" s="20" t="n">
        <x:v>0</x:v>
      </x:c>
      <x:c r="Z12" s="20"/>
      <x:c r="AA12" s="20" t="str">
        <x:v>原文仍不足以在同一交易时点闭合比例；保留null。</x:v>
      </x:c>
    </x:row>
    <x:row r="13" ht="54" customHeight="1">
      <x:c r="A13" s="44" t="str">
        <x:v>301563</x:v>
      </x:c>
      <x:c r="B13" s="20" t="str">
        <x:v>云汉芯城</x:v>
      </x:c>
      <x:c r="C13" s="20" t="str">
        <x:v>EDGE-009</x:v>
      </x:c>
      <x:c r="D13" s="20" t="str">
        <x:v>PATH-009</x:v>
      </x:c>
      <x:c r="E13" s="20" t="str">
        <x:v>WEEK8_FROZEN</x:v>
      </x:c>
      <x:c r="F13" s="20" t="str">
        <x:v>ENT-012</x:v>
      </x:c>
      <x:c r="G13" s="20" t="str">
        <x:v>富海深湾（深圳）移动创新私募创业投资基金合伙企业（有限合伙）</x:v>
      </x:c>
      <x:c r="H13" s="20" t="str">
        <x:v>PEVC_CONFIRMED</x:v>
      </x:c>
      <x:c r="I13" s="20" t="str">
        <x:v>EQUITY_HOLDING</x:v>
      </x:c>
      <x:c r="J13" s="20" t="str">
        <x:v>DIRECT</x:v>
      </x:c>
      <x:c r="K13" s="20" t="str">
        <x:v>ISSUER_LEVEL</x:v>
      </x:c>
      <x:c r="L13" s="20" t="str">
        <x:v>CE-007</x:v>
      </x:c>
      <x:c r="M13" s="20"/>
      <x:c r="N13" s="20" t="str">
        <x:v>2015-08</x:v>
      </x:c>
      <x:c r="O13" s="20" t="str">
        <x:v>NOT_COMPUTABLE_RETAINED_EVIDENCE</x:v>
      </x:c>
      <x:c r="P13" s="26"/>
      <x:c r="Q13" s="20"/>
      <x:c r="R13" s="20"/>
      <x:c r="S13" s="20"/>
      <x:c r="T13" s="20"/>
      <x:c r="U13" s="20" t="str">
        <x:v>不适用</x:v>
      </x:c>
      <x:c r="V13" s="20" t="str">
        <x:v>EVD-017</x:v>
      </x:c>
      <x:c r="W13" s="20" t="str">
        <x:v>88</x:v>
      </x:c>
      <x:c r="X13" s="20" t="str">
        <x:v>ORIGINAL_EXCERPT_RETAINED</x:v>
      </x:c>
      <x:c r="Y13" s="20" t="n">
        <x:v>0</x:v>
      </x:c>
      <x:c r="Z13" s="20"/>
      <x:c r="AA13" s="20" t="str">
        <x:v>原文仍不足以在同一交易时点闭合比例；保留null。</x:v>
      </x:c>
    </x:row>
    <x:row r="14" ht="54" customHeight="1">
      <x:c r="A14" s="44" t="str">
        <x:v>301563</x:v>
      </x:c>
      <x:c r="B14" s="20" t="str">
        <x:v>云汉芯城</x:v>
      </x:c>
      <x:c r="C14" s="20" t="str">
        <x:v>EDGE-010</x:v>
      </x:c>
      <x:c r="D14" s="20" t="str">
        <x:v>PATH-010</x:v>
      </x:c>
      <x:c r="E14" s="20" t="str">
        <x:v>WEEK8_FROZEN</x:v>
      </x:c>
      <x:c r="F14" s="20" t="str">
        <x:v>ENT-013</x:v>
      </x:c>
      <x:c r="G14" s="20" t="str">
        <x:v>厦门富海天健创业投资合伙企业（有限合伙）</x:v>
      </x:c>
      <x:c r="H14" s="20" t="str">
        <x:v>PEVC_CONFIRMED</x:v>
      </x:c>
      <x:c r="I14" s="20" t="str">
        <x:v>EQUITY_HOLDING</x:v>
      </x:c>
      <x:c r="J14" s="20" t="str">
        <x:v>DIRECT</x:v>
      </x:c>
      <x:c r="K14" s="20" t="str">
        <x:v>ISSUER_LEVEL</x:v>
      </x:c>
      <x:c r="L14" s="20" t="str">
        <x:v>CE-009</x:v>
      </x:c>
      <x:c r="M14" s="20"/>
      <x:c r="N14" s="20" t="str">
        <x:v>2018-04</x:v>
      </x:c>
      <x:c r="O14" s="20" t="str">
        <x:v>EXPLICIT_DISCLOSED_RATIO</x:v>
      </x:c>
      <x:c r="P14" s="26" t="n">
        <x:v>0.0167</x:v>
      </x:c>
      <x:c r="Q14" s="20" t="str">
        <x:v>M-301563-CE009-TIANJIAN</x:v>
      </x:c>
      <x:c r="R14" s="20" t="str">
        <x:v>EXPLICIT_DISCLOSED_RATIO</x:v>
      </x:c>
      <x:c r="S14" s="20" t="n">
        <x:v>666680</x:v>
      </x:c>
      <x:c r="T14" s="20" t="n">
        <x:v>40000000</x:v>
      </x:c>
      <x:c r="U14" s="20" t="str">
        <x:v>原披露数量单位</x:v>
      </x:c>
      <x:c r="V14" s="20" t="str">
        <x:v>CE-009-E02</x:v>
      </x:c>
      <x:c r="W14" s="20" t="str">
        <x:v>58</x:v>
      </x:c>
      <x:c r="X14" s="20" t="str">
        <x:v>ORIGINAL_PROSPECTUS_VERIFIED</x:v>
      </x:c>
      <x:c r="Y14" s="20" t="n">
        <x:v>1</x:v>
      </x:c>
      <x:c r="Z14" s="20" t="str">
        <x:v>2018年4月转让后股东表直接披露1.67%。</x:v>
      </x:c>
      <x:c r="AA14" s="20" t="str">
        <x:v>可进入唯一测量层；不回写冻结文件</x:v>
      </x:c>
    </x:row>
    <x:row r="15" ht="54" customHeight="1">
      <x:c r="A15" s="44" t="str">
        <x:v>301563</x:v>
      </x:c>
      <x:c r="B15" s="20" t="str">
        <x:v>云汉芯城</x:v>
      </x:c>
      <x:c r="C15" s="20" t="str">
        <x:v>EDGE-011</x:v>
      </x:c>
      <x:c r="D15" s="20" t="str">
        <x:v>PATH-011</x:v>
      </x:c>
      <x:c r="E15" s="20" t="str">
        <x:v>WEEK8_FROZEN</x:v>
      </x:c>
      <x:c r="F15" s="20" t="str">
        <x:v>ENT-014</x:v>
      </x:c>
      <x:c r="G15" s="20" t="str">
        <x:v>北京国科瑞华战略性新兴产业投资基金（有限合伙）</x:v>
      </x:c>
      <x:c r="H15" s="20" t="str">
        <x:v>PEVC_CONFIRMED</x:v>
      </x:c>
      <x:c r="I15" s="20" t="str">
        <x:v>EQUITY_HOLDING</x:v>
      </x:c>
      <x:c r="J15" s="20" t="str">
        <x:v>DIRECT</x:v>
      </x:c>
      <x:c r="K15" s="20" t="str">
        <x:v>ISSUER_LEVEL</x:v>
      </x:c>
      <x:c r="L15" s="20" t="str">
        <x:v>CE-010-01</x:v>
      </x:c>
      <x:c r="M15" s="20"/>
      <x:c r="N15" s="20"/>
      <x:c r="O15" s="20" t="str">
        <x:v>EXPLICIT_DISCLOSED_RATIO</x:v>
      </x:c>
      <x:c r="P15" s="26" t="n">
        <x:v>0.0549</x:v>
      </x:c>
      <x:c r="Q15" s="20" t="str">
        <x:v>M-301563-CE010-GKRH</x:v>
      </x:c>
      <x:c r="R15" s="20" t="str">
        <x:v>EXPLICIT_DISCLOSED_RATIO</x:v>
      </x:c>
      <x:c r="S15" s="20" t="n">
        <x:v>2544787</x:v>
      </x:c>
      <x:c r="T15" s="20" t="n">
        <x:v>46350000</x:v>
      </x:c>
      <x:c r="U15" s="20" t="str">
        <x:v>原披露数量单位</x:v>
      </x:c>
      <x:c r="V15" s="20" t="str">
        <x:v>S5-YH-P59-60</x:v>
      </x:c>
      <x:c r="W15" s="20" t="str">
        <x:v>59-60</x:v>
      </x:c>
      <x:c r="X15" s="20" t="str">
        <x:v>ORIGINAL_PROSPECTUS_VERIFIED</x:v>
      </x:c>
      <x:c r="Y15" s="20" t="n">
        <x:v>1</x:v>
      </x:c>
      <x:c r="Z15" s="20" t="str">
        <x:v>2018年6—7月交易后股东表直接披露5.49%。</x:v>
      </x:c>
      <x:c r="AA15" s="20" t="str">
        <x:v>可进入唯一测量层；不回写冻结文件</x:v>
      </x:c>
    </x:row>
    <x:row r="16" ht="54" customHeight="1">
      <x:c r="A16" s="44" t="str">
        <x:v>301563</x:v>
      </x:c>
      <x:c r="B16" s="20" t="str">
        <x:v>云汉芯城</x:v>
      </x:c>
      <x:c r="C16" s="20" t="str">
        <x:v>EDGE-012</x:v>
      </x:c>
      <x:c r="D16" s="20" t="str">
        <x:v>PATH-012</x:v>
      </x:c>
      <x:c r="E16" s="20" t="str">
        <x:v>WEEK8_FROZEN</x:v>
      </x:c>
      <x:c r="F16" s="20" t="str">
        <x:v>ENT-015</x:v>
      </x:c>
      <x:c r="G16" s="20" t="str">
        <x:v>CASREV FUND II-USD L.P.</x:v>
      </x:c>
      <x:c r="H16" s="20" t="str">
        <x:v>PEVC_CANDIDATE</x:v>
      </x:c>
      <x:c r="I16" s="20" t="str">
        <x:v>EQUITY_HOLDING</x:v>
      </x:c>
      <x:c r="J16" s="20" t="str">
        <x:v>DIRECT</x:v>
      </x:c>
      <x:c r="K16" s="20" t="str">
        <x:v>ISSUER_LEVEL</x:v>
      </x:c>
      <x:c r="L16" s="20" t="str">
        <x:v>CE-010-01</x:v>
      </x:c>
      <x:c r="M16" s="20"/>
      <x:c r="N16" s="20"/>
      <x:c r="O16" s="20" t="str">
        <x:v>EXPLICIT_DISCLOSED_RATIO</x:v>
      </x:c>
      <x:c r="P16" s="26" t="n">
        <x:v>0.0133</x:v>
      </x:c>
      <x:c r="Q16" s="20" t="str">
        <x:v>M-301563-CE010-CASREV</x:v>
      </x:c>
      <x:c r="R16" s="20" t="str">
        <x:v>EXPLICIT_DISCLOSED_RATIO</x:v>
      </x:c>
      <x:c r="S16" s="20" t="n">
        <x:v>618000</x:v>
      </x:c>
      <x:c r="T16" s="20" t="n">
        <x:v>46350000</x:v>
      </x:c>
      <x:c r="U16" s="20" t="str">
        <x:v>原披露数量单位</x:v>
      </x:c>
      <x:c r="V16" s="20" t="str">
        <x:v>S5-YH-P59-60</x:v>
      </x:c>
      <x:c r="W16" s="20" t="str">
        <x:v>59-60</x:v>
      </x:c>
      <x:c r="X16" s="20" t="str">
        <x:v>ORIGINAL_PROSPECTUS_VERIFIED</x:v>
      </x:c>
      <x:c r="Y16" s="20" t="n">
        <x:v>1</x:v>
      </x:c>
      <x:c r="Z16" s="20" t="str">
        <x:v>交易后股东表直接披露1.33%。</x:v>
      </x:c>
      <x:c r="AA16" s="20" t="str">
        <x:v>可进入唯一测量层；不回写冻结文件</x:v>
      </x:c>
    </x:row>
    <x:row r="17" ht="54" customHeight="1">
      <x:c r="A17" s="44" t="str">
        <x:v>301563</x:v>
      </x:c>
      <x:c r="B17" s="20" t="str">
        <x:v>云汉芯城</x:v>
      </x:c>
      <x:c r="C17" s="20" t="str">
        <x:v>EDGE-013</x:v>
      </x:c>
      <x:c r="D17" s="20" t="str">
        <x:v>PATH-013</x:v>
      </x:c>
      <x:c r="E17" s="20" t="str">
        <x:v>WEEK8_FROZEN</x:v>
      </x:c>
      <x:c r="F17" s="20" t="str">
        <x:v>ENT-016</x:v>
      </x:c>
      <x:c r="G17" s="20" t="str">
        <x:v>中科贵银（贵州）产业投资基金（有限合伙）</x:v>
      </x:c>
      <x:c r="H17" s="20" t="str">
        <x:v>PEVC_CONFIRMED</x:v>
      </x:c>
      <x:c r="I17" s="20" t="str">
        <x:v>EQUITY_HOLDING</x:v>
      </x:c>
      <x:c r="J17" s="20" t="str">
        <x:v>DIRECT</x:v>
      </x:c>
      <x:c r="K17" s="20" t="str">
        <x:v>ISSUER_LEVEL</x:v>
      </x:c>
      <x:c r="L17" s="20" t="str">
        <x:v>CE-010-01</x:v>
      </x:c>
      <x:c r="M17" s="20"/>
      <x:c r="N17" s="20"/>
      <x:c r="O17" s="20" t="str">
        <x:v>EXPLICIT_DISCLOSED_RATIO</x:v>
      </x:c>
      <x:c r="P17" s="26" t="n">
        <x:v>0.0117</x:v>
      </x:c>
      <x:c r="Q17" s="20" t="str">
        <x:v>M-301563-CE010-ZKGY</x:v>
      </x:c>
      <x:c r="R17" s="20" t="str">
        <x:v>EXPLICIT_DISCLOSED_RATIO</x:v>
      </x:c>
      <x:c r="S17" s="20" t="n">
        <x:v>543840</x:v>
      </x:c>
      <x:c r="T17" s="20" t="n">
        <x:v>46350000</x:v>
      </x:c>
      <x:c r="U17" s="20" t="str">
        <x:v>原披露数量单位</x:v>
      </x:c>
      <x:c r="V17" s="20" t="str">
        <x:v>S5-YH-P59-60</x:v>
      </x:c>
      <x:c r="W17" s="20" t="str">
        <x:v>59-60</x:v>
      </x:c>
      <x:c r="X17" s="20" t="str">
        <x:v>ORIGINAL_PROSPECTUS_VERIFIED</x:v>
      </x:c>
      <x:c r="Y17" s="20" t="n">
        <x:v>1</x:v>
      </x:c>
      <x:c r="Z17" s="20" t="str">
        <x:v>交易后股东表直接披露1.17%。</x:v>
      </x:c>
      <x:c r="AA17" s="20" t="str">
        <x:v>可进入唯一测量层；不回写冻结文件</x:v>
      </x:c>
    </x:row>
    <x:row r="18" ht="54" customHeight="1">
      <x:c r="A18" s="44" t="str">
        <x:v>301563</x:v>
      </x:c>
      <x:c r="B18" s="20" t="str">
        <x:v>云汉芯城</x:v>
      </x:c>
      <x:c r="C18" s="20" t="str">
        <x:v>EDGE-014</x:v>
      </x:c>
      <x:c r="D18" s="20" t="str">
        <x:v>PATH-014</x:v>
      </x:c>
      <x:c r="E18" s="20" t="str">
        <x:v>WEEK8_FROZEN</x:v>
      </x:c>
      <x:c r="F18" s="20" t="str">
        <x:v>ENT-018</x:v>
      </x:c>
      <x:c r="G18" s="20" t="str">
        <x:v>深圳南山东方富海中小微创业投资基金合伙企业（有限合伙）</x:v>
      </x:c>
      <x:c r="H18" s="20" t="str">
        <x:v>PEVC_CONFIRMED</x:v>
      </x:c>
      <x:c r="I18" s="20" t="str">
        <x:v>EQUITY_HOLDING</x:v>
      </x:c>
      <x:c r="J18" s="20" t="str">
        <x:v>DIRECT</x:v>
      </x:c>
      <x:c r="K18" s="20" t="str">
        <x:v>ISSUER_LEVEL</x:v>
      </x:c>
      <x:c r="L18" s="20" t="str">
        <x:v>CE-010-01</x:v>
      </x:c>
      <x:c r="M18" s="20"/>
      <x:c r="N18" s="20"/>
      <x:c r="O18" s="20" t="str">
        <x:v>EXPLICIT_DISCLOSED_RATIO</x:v>
      </x:c>
      <x:c r="P18" s="26" t="n">
        <x:v>0.0222</x:v>
      </x:c>
      <x:c r="Q18" s="20" t="str">
        <x:v>M-301563-CE010-NSFH</x:v>
      </x:c>
      <x:c r="R18" s="20" t="str">
        <x:v>EXPLICIT_DISCLOSED_RATIO</x:v>
      </x:c>
      <x:c r="S18" s="20" t="n">
        <x:v>1030000</x:v>
      </x:c>
      <x:c r="T18" s="20" t="n">
        <x:v>46350000</x:v>
      </x:c>
      <x:c r="U18" s="20" t="str">
        <x:v>原披露数量单位</x:v>
      </x:c>
      <x:c r="V18" s="20" t="str">
        <x:v>S5-YH-P59-60</x:v>
      </x:c>
      <x:c r="W18" s="20" t="str">
        <x:v>59-60</x:v>
      </x:c>
      <x:c r="X18" s="20" t="str">
        <x:v>ORIGINAL_PROSPECTUS_VERIFIED</x:v>
      </x:c>
      <x:c r="Y18" s="20" t="n">
        <x:v>1</x:v>
      </x:c>
      <x:c r="Z18" s="20" t="str">
        <x:v>交易后股东表直接披露2.22%。</x:v>
      </x:c>
      <x:c r="AA18" s="20" t="str">
        <x:v>可进入唯一测量层；不回写冻结文件</x:v>
      </x:c>
    </x:row>
    <x:row r="19" ht="54" customHeight="1">
      <x:c r="A19" s="44" t="str">
        <x:v>301563</x:v>
      </x:c>
      <x:c r="B19" s="20" t="str">
        <x:v>云汉芯城</x:v>
      </x:c>
      <x:c r="C19" s="20" t="str">
        <x:v>EDGE-015</x:v>
      </x:c>
      <x:c r="D19" s="20" t="str">
        <x:v>PATH-015</x:v>
      </x:c>
      <x:c r="E19" s="20" t="str">
        <x:v>WEEK8_FROZEN</x:v>
      </x:c>
      <x:c r="F19" s="20" t="str">
        <x:v>ENT-019</x:v>
      </x:c>
      <x:c r="G19" s="20" t="str">
        <x:v>珠海拓域壹号股权投资基金（有限合伙）</x:v>
      </x:c>
      <x:c r="H19" s="20" t="str">
        <x:v>PEVC_CONFIRMED</x:v>
      </x:c>
      <x:c r="I19" s="20" t="str">
        <x:v>EQUITY_HOLDING</x:v>
      </x:c>
      <x:c r="J19" s="20" t="str">
        <x:v>DIRECT</x:v>
      </x:c>
      <x:c r="K19" s="20" t="str">
        <x:v>ISSUER_LEVEL</x:v>
      </x:c>
      <x:c r="L19" s="20" t="str">
        <x:v>CE-010-01</x:v>
      </x:c>
      <x:c r="M19" s="20"/>
      <x:c r="N19" s="20"/>
      <x:c r="O19" s="20" t="str">
        <x:v>EXPLICIT_DISCLOSED_RATIO</x:v>
      </x:c>
      <x:c r="P19" s="26" t="n">
        <x:v>0.0074</x:v>
      </x:c>
      <x:c r="Q19" s="20" t="str">
        <x:v>M-301563-CE010-ZHTY</x:v>
      </x:c>
      <x:c r="R19" s="20" t="str">
        <x:v>EXPLICIT_DISCLOSED_RATIO</x:v>
      </x:c>
      <x:c r="S19" s="20" t="n">
        <x:v>343333</x:v>
      </x:c>
      <x:c r="T19" s="20" t="n">
        <x:v>46350000</x:v>
      </x:c>
      <x:c r="U19" s="20" t="str">
        <x:v>原披露数量单位</x:v>
      </x:c>
      <x:c r="V19" s="20" t="str">
        <x:v>S5-YH-P59-60</x:v>
      </x:c>
      <x:c r="W19" s="20" t="str">
        <x:v>59-60</x:v>
      </x:c>
      <x:c r="X19" s="20" t="str">
        <x:v>ORIGINAL_PROSPECTUS_VERIFIED</x:v>
      </x:c>
      <x:c r="Y19" s="20" t="n">
        <x:v>1</x:v>
      </x:c>
      <x:c r="Z19" s="20" t="str">
        <x:v>交易后股东表直接披露0.74%。</x:v>
      </x:c>
      <x:c r="AA19" s="20" t="str">
        <x:v>可进入唯一测量层；不回写冻结文件</x:v>
      </x:c>
    </x:row>
    <x:row r="20" ht="54" customHeight="1">
      <x:c r="A20" s="44" t="str">
        <x:v>301563</x:v>
      </x:c>
      <x:c r="B20" s="20" t="str">
        <x:v>云汉芯城</x:v>
      </x:c>
      <x:c r="C20" s="20" t="str">
        <x:v>EDGE-016</x:v>
      </x:c>
      <x:c r="D20" s="20" t="str">
        <x:v>PATH-016</x:v>
      </x:c>
      <x:c r="E20" s="20" t="str">
        <x:v>WEEK8_FROZEN</x:v>
      </x:c>
      <x:c r="F20" s="20" t="str">
        <x:v>ENT-024</x:v>
      </x:c>
      <x:c r="G20" s="20" t="str">
        <x:v>深圳东方富海节能环保创业投资基金合伙企业（有限合伙）</x:v>
      </x:c>
      <x:c r="H20" s="20" t="str">
        <x:v>PEVC_CONFIRMED</x:v>
      </x:c>
      <x:c r="I20" s="20" t="str">
        <x:v>EQUITY_HOLDING</x:v>
      </x:c>
      <x:c r="J20" s="20" t="str">
        <x:v>DIRECT</x:v>
      </x:c>
      <x:c r="K20" s="20" t="str">
        <x:v>ISSUER_LEVEL</x:v>
      </x:c>
      <x:c r="L20" s="20" t="str">
        <x:v>CE-010-03</x:v>
      </x:c>
      <x:c r="M20" s="20"/>
      <x:c r="N20" s="20" t="str">
        <x:v>2018-06</x:v>
      </x:c>
      <x:c r="O20" s="20" t="str">
        <x:v>EXPLICIT_DISCLOSED_RATIO</x:v>
      </x:c>
      <x:c r="P20" s="26" t="n">
        <x:v>0.0111</x:v>
      </x:c>
      <x:c r="Q20" s="20" t="str">
        <x:v>M-301563-CE010-FHJN</x:v>
      </x:c>
      <x:c r="R20" s="20" t="str">
        <x:v>EXPLICIT_DISCLOSED_RATIO</x:v>
      </x:c>
      <x:c r="S20" s="20" t="n">
        <x:v>515000</x:v>
      </x:c>
      <x:c r="T20" s="20" t="n">
        <x:v>46350000</x:v>
      </x:c>
      <x:c r="U20" s="20" t="str">
        <x:v>原披露数量单位</x:v>
      </x:c>
      <x:c r="V20" s="20" t="str">
        <x:v>S5-YH-P59-60</x:v>
      </x:c>
      <x:c r="W20" s="20" t="str">
        <x:v>59-60</x:v>
      </x:c>
      <x:c r="X20" s="20" t="str">
        <x:v>ORIGINAL_PROSPECTUS_VERIFIED</x:v>
      </x:c>
      <x:c r="Y20" s="20" t="n">
        <x:v>1</x:v>
      </x:c>
      <x:c r="Z20" s="20" t="str">
        <x:v>交易后股东表直接披露1.11%。</x:v>
      </x:c>
      <x:c r="AA20" s="20" t="str">
        <x:v>可进入唯一测量层；不回写冻结文件</x:v>
      </x:c>
    </x:row>
    <x:row r="21" ht="54" customHeight="1">
      <x:c r="A21" s="44" t="str">
        <x:v>301563</x:v>
      </x:c>
      <x:c r="B21" s="20" t="str">
        <x:v>云汉芯城</x:v>
      </x:c>
      <x:c r="C21" s="20" t="str">
        <x:v>EDGE-017</x:v>
      </x:c>
      <x:c r="D21" s="20" t="str">
        <x:v>PATH-017</x:v>
      </x:c>
      <x:c r="E21" s="20" t="str">
        <x:v>WEEK8_FROZEN</x:v>
      </x:c>
      <x:c r="F21" s="20" t="str">
        <x:v>ENT-025</x:v>
      </x:c>
      <x:c r="G21" s="20" t="str">
        <x:v>上海临港松江股权投资基金合伙企业（有限合伙）</x:v>
      </x:c>
      <x:c r="H21" s="20" t="str">
        <x:v>PEVC_CONFIRMED</x:v>
      </x:c>
      <x:c r="I21" s="20" t="str">
        <x:v>EQUITY_HOLDING</x:v>
      </x:c>
      <x:c r="J21" s="20" t="str">
        <x:v>DIRECT</x:v>
      </x:c>
      <x:c r="K21" s="20" t="str">
        <x:v>ISSUER_LEVEL</x:v>
      </x:c>
      <x:c r="L21" s="20" t="str">
        <x:v>CE-010-03</x:v>
      </x:c>
      <x:c r="M21" s="20"/>
      <x:c r="N21" s="20" t="str">
        <x:v>2018-06</x:v>
      </x:c>
      <x:c r="O21" s="20" t="str">
        <x:v>EXPLICIT_DISCLOSED_RATIO</x:v>
      </x:c>
      <x:c r="P21" s="26" t="n">
        <x:v>0.0059</x:v>
      </x:c>
      <x:c r="Q21" s="20" t="str">
        <x:v>M-301563-CE010-LGTZ</x:v>
      </x:c>
      <x:c r="R21" s="20" t="str">
        <x:v>EXPLICIT_DISCLOSED_RATIO</x:v>
      </x:c>
      <x:c r="S21" s="20" t="n">
        <x:v>274667</x:v>
      </x:c>
      <x:c r="T21" s="20" t="n">
        <x:v>46350000</x:v>
      </x:c>
      <x:c r="U21" s="20" t="str">
        <x:v>原披露数量单位</x:v>
      </x:c>
      <x:c r="V21" s="20" t="str">
        <x:v>S5-YH-P59-60</x:v>
      </x:c>
      <x:c r="W21" s="20" t="str">
        <x:v>59-60</x:v>
      </x:c>
      <x:c r="X21" s="20" t="str">
        <x:v>ORIGINAL_PROSPECTUS_VERIFIED</x:v>
      </x:c>
      <x:c r="Y21" s="20" t="n">
        <x:v>1</x:v>
      </x:c>
      <x:c r="Z21" s="20" t="str">
        <x:v>交易后股东表直接披露0.59%。</x:v>
      </x:c>
      <x:c r="AA21" s="20" t="str">
        <x:v>可进入唯一测量层；不回写冻结文件</x:v>
      </x:c>
    </x:row>
    <x:row r="22" ht="54" customHeight="1">
      <x:c r="A22" s="44" t="str">
        <x:v>301563</x:v>
      </x:c>
      <x:c r="B22" s="20" t="str">
        <x:v>云汉芯城</x:v>
      </x:c>
      <x:c r="C22" s="20" t="str">
        <x:v>EDGE-018</x:v>
      </x:c>
      <x:c r="D22" s="20" t="str">
        <x:v>PATH-018</x:v>
      </x:c>
      <x:c r="E22" s="20" t="str">
        <x:v>WEEK8_FROZEN</x:v>
      </x:c>
      <x:c r="F22" s="20" t="str">
        <x:v>ENT-026</x:v>
      </x:c>
      <x:c r="G22" s="20" t="str">
        <x:v>上海鸿迪投资集团有限公司</x:v>
      </x:c>
      <x:c r="H22" s="20" t="str">
        <x:v>PEVC_CANDIDATE</x:v>
      </x:c>
      <x:c r="I22" s="20" t="str">
        <x:v>EQUITY_HOLDING</x:v>
      </x:c>
      <x:c r="J22" s="20" t="str">
        <x:v>DIRECT</x:v>
      </x:c>
      <x:c r="K22" s="20" t="str">
        <x:v>ISSUER_LEVEL</x:v>
      </x:c>
      <x:c r="L22" s="20" t="str">
        <x:v>CE-010-03</x:v>
      </x:c>
      <x:c r="M22" s="20"/>
      <x:c r="N22" s="20" t="str">
        <x:v>2018-06</x:v>
      </x:c>
      <x:c r="O22" s="20" t="str">
        <x:v>EXPLICIT_DISCLOSED_RATIO</x:v>
      </x:c>
      <x:c r="P22" s="26" t="n">
        <x:v>0.008</x:v>
      </x:c>
      <x:c r="Q22" s="20" t="str">
        <x:v>M-301563-CE010-HDTZ</x:v>
      </x:c>
      <x:c r="R22" s="20" t="str">
        <x:v>EXPLICIT_DISCLOSED_RATIO</x:v>
      </x:c>
      <x:c r="S22" s="20" t="n">
        <x:v>369083</x:v>
      </x:c>
      <x:c r="T22" s="20" t="n">
        <x:v>46350000</x:v>
      </x:c>
      <x:c r="U22" s="20" t="str">
        <x:v>原披露数量单位</x:v>
      </x:c>
      <x:c r="V22" s="20" t="str">
        <x:v>S5-YH-P59-60</x:v>
      </x:c>
      <x:c r="W22" s="20" t="str">
        <x:v>59-60</x:v>
      </x:c>
      <x:c r="X22" s="20" t="str">
        <x:v>ORIGINAL_PROSPECTUS_VERIFIED</x:v>
      </x:c>
      <x:c r="Y22" s="20" t="n">
        <x:v>1</x:v>
      </x:c>
      <x:c r="Z22" s="20" t="str">
        <x:v>交易后股东表直接披露0.80%。</x:v>
      </x:c>
      <x:c r="AA22" s="20" t="str">
        <x:v>可进入唯一测量层；不回写冻结文件</x:v>
      </x:c>
    </x:row>
    <x:row r="23" ht="54" customHeight="1">
      <x:c r="A23" s="44" t="str">
        <x:v>301563</x:v>
      </x:c>
      <x:c r="B23" s="20" t="str">
        <x:v>云汉芯城</x:v>
      </x:c>
      <x:c r="C23" s="20" t="str">
        <x:v>EDGE-019</x:v>
      </x:c>
      <x:c r="D23" s="20" t="str">
        <x:v>PATH-019</x:v>
      </x:c>
      <x:c r="E23" s="20" t="str">
        <x:v>WEEK8_FROZEN</x:v>
      </x:c>
      <x:c r="F23" s="20" t="str">
        <x:v>ENT-027</x:v>
      </x:c>
      <x:c r="G23" s="20" t="str">
        <x:v>福建火炬电子科技股份有限公司</x:v>
      </x:c>
      <x:c r="H23" s="20" t="str">
        <x:v>PEVC_EXCLUDED</x:v>
      </x:c>
      <x:c r="I23" s="20" t="str">
        <x:v>EQUITY_HOLDING</x:v>
      </x:c>
      <x:c r="J23" s="20" t="str">
        <x:v>DIRECT</x:v>
      </x:c>
      <x:c r="K23" s="20" t="str">
        <x:v>ISSUER_LEVEL</x:v>
      </x:c>
      <x:c r="L23" s="20" t="str">
        <x:v>CE-012</x:v>
      </x:c>
      <x:c r="M23" s="20"/>
      <x:c r="N23" s="20" t="str">
        <x:v>2020-05</x:v>
      </x:c>
      <x:c r="O23" s="20" t="str">
        <x:v>EXPLICIT_DISCLOSED_RATIO</x:v>
      </x:c>
      <x:c r="P23" s="26" t="n">
        <x:v>0.0238</x:v>
      </x:c>
      <x:c r="Q23" s="20" t="str">
        <x:v>M-301563-CE012-HJ</x:v>
      </x:c>
      <x:c r="R23" s="20" t="str">
        <x:v>EXPLICIT_DISCLOSED_RATIO</x:v>
      </x:c>
      <x:c r="S23" s="20" t="n">
        <x:v>1130488</x:v>
      </x:c>
      <x:c r="T23" s="20" t="n">
        <x:v>47480488</x:v>
      </x:c>
      <x:c r="U23" s="20" t="str">
        <x:v>原披露数量单位</x:v>
      </x:c>
      <x:c r="V23" s="20" t="str">
        <x:v>S5-YH-P61-62</x:v>
      </x:c>
      <x:c r="W23" s="20" t="str">
        <x:v>61-62</x:v>
      </x:c>
      <x:c r="X23" s="20" t="str">
        <x:v>ORIGINAL_PROSPECTUS_VERIFIED</x:v>
      </x:c>
      <x:c r="Y23" s="20" t="n">
        <x:v>1</x:v>
      </x:c>
      <x:c r="Z23" s="20" t="str">
        <x:v>2020年5月增资后股东表直接披露2.38%。</x:v>
      </x:c>
      <x:c r="AA23" s="20" t="str">
        <x:v>可进入唯一测量层；不回写冻结文件</x:v>
      </x:c>
    </x:row>
    <x:row r="24" ht="54" customHeight="1">
      <x:c r="A24" s="44" t="str">
        <x:v>301563</x:v>
      </x:c>
      <x:c r="B24" s="20" t="str">
        <x:v>云汉芯城</x:v>
      </x:c>
      <x:c r="C24" s="20" t="str">
        <x:v>EDGE-020</x:v>
      </x:c>
      <x:c r="D24" s="20" t="str">
        <x:v>PATH-020</x:v>
      </x:c>
      <x:c r="E24" s="20" t="str">
        <x:v>WEEK8_FROZEN</x:v>
      </x:c>
      <x:c r="F24" s="20" t="str">
        <x:v>ENT-028</x:v>
      </x:c>
      <x:c r="G24" s="20" t="str">
        <x:v>厦门西堤拾贰投资合伙企业（有限合伙）</x:v>
      </x:c>
      <x:c r="H24" s="20" t="str">
        <x:v>PEVC_CANDIDATE</x:v>
      </x:c>
      <x:c r="I24" s="20" t="str">
        <x:v>EQUITY_HOLDING</x:v>
      </x:c>
      <x:c r="J24" s="20" t="str">
        <x:v>DIRECT</x:v>
      </x:c>
      <x:c r="K24" s="20" t="str">
        <x:v>ISSUER_LEVEL</x:v>
      </x:c>
      <x:c r="L24" s="20" t="str">
        <x:v>CE-013-01</x:v>
      </x:c>
      <x:c r="M24" s="20"/>
      <x:c r="N24" s="20" t="str">
        <x:v>2020-09</x:v>
      </x:c>
      <x:c r="O24" s="20" t="str">
        <x:v>EXPLICIT_DISCLOSED_RATIO</x:v>
      </x:c>
      <x:c r="P24" s="26" t="n">
        <x:v>0.0198</x:v>
      </x:c>
      <x:c r="Q24" s="20" t="str">
        <x:v>M-301563-CE013-XIDI</x:v>
      </x:c>
      <x:c r="R24" s="20" t="str">
        <x:v>EXPLICIT_DISCLOSED_RATIO</x:v>
      </x:c>
      <x:c r="S24" s="20" t="n">
        <x:v>968990</x:v>
      </x:c>
      <x:c r="T24" s="20" t="n">
        <x:v>48837074</x:v>
      </x:c>
      <x:c r="U24" s="20" t="str">
        <x:v>原披露数量单位</x:v>
      </x:c>
      <x:c r="V24" s="20" t="str">
        <x:v>S5-YH-P63-64</x:v>
      </x:c>
      <x:c r="W24" s="20" t="str">
        <x:v>63-64</x:v>
      </x:c>
      <x:c r="X24" s="20" t="str">
        <x:v>ORIGINAL_PROSPECTUS_VERIFIED</x:v>
      </x:c>
      <x:c r="Y24" s="20" t="n">
        <x:v>1</x:v>
      </x:c>
      <x:c r="Z24" s="20" t="str">
        <x:v>原表直接披露1.98%；Stage 4计算值升级为原文比例。</x:v>
      </x:c>
      <x:c r="AA24" s="20" t="str">
        <x:v>可进入唯一测量层；不回写冻结文件</x:v>
      </x:c>
    </x:row>
    <x:row r="25" ht="54" customHeight="1">
      <x:c r="A25" s="44" t="str">
        <x:v>301563</x:v>
      </x:c>
      <x:c r="B25" s="20" t="str">
        <x:v>云汉芯城</x:v>
      </x:c>
      <x:c r="C25" s="20" t="str">
        <x:v>EDGE-021</x:v>
      </x:c>
      <x:c r="D25" s="20" t="str">
        <x:v>PATH-021</x:v>
      </x:c>
      <x:c r="E25" s="20" t="str">
        <x:v>WEEK8_FROZEN</x:v>
      </x:c>
      <x:c r="F25" s="20" t="str">
        <x:v>ENT-029</x:v>
      </x:c>
      <x:c r="G25" s="20" t="str">
        <x:v>中小企业发展基金（深圳南山有限合伙）</x:v>
      </x:c>
      <x:c r="H25" s="20" t="str">
        <x:v>PEVC_CONFIRMED</x:v>
      </x:c>
      <x:c r="I25" s="20" t="str">
        <x:v>EQUITY_HOLDING</x:v>
      </x:c>
      <x:c r="J25" s="20" t="str">
        <x:v>DIRECT</x:v>
      </x:c>
      <x:c r="K25" s="20" t="str">
        <x:v>ISSUER_LEVEL</x:v>
      </x:c>
      <x:c r="L25" s="20" t="str">
        <x:v>CE-013-01</x:v>
      </x:c>
      <x:c r="M25" s="20"/>
      <x:c r="N25" s="20" t="str">
        <x:v>2020-09</x:v>
      </x:c>
      <x:c r="O25" s="20" t="str">
        <x:v>EXPLICIT_DISCLOSED_RATIO</x:v>
      </x:c>
      <x:c r="P25" s="26" t="n">
        <x:v>0.0079</x:v>
      </x:c>
      <x:c r="Q25" s="20" t="str">
        <x:v>M-301563-CE013-SMEFUND</x:v>
      </x:c>
      <x:c r="R25" s="20" t="str">
        <x:v>EXPLICIT_DISCLOSED_RATIO</x:v>
      </x:c>
      <x:c r="S25" s="20" t="n">
        <x:v>387596</x:v>
      </x:c>
      <x:c r="T25" s="20" t="n">
        <x:v>48837074</x:v>
      </x:c>
      <x:c r="U25" s="20" t="str">
        <x:v>原披露数量单位</x:v>
      </x:c>
      <x:c r="V25" s="20" t="str">
        <x:v>S5-YH-P63-64</x:v>
      </x:c>
      <x:c r="W25" s="20" t="str">
        <x:v>63-64</x:v>
      </x:c>
      <x:c r="X25" s="20" t="str">
        <x:v>ORIGINAL_PROSPECTUS_VERIFIED</x:v>
      </x:c>
      <x:c r="Y25" s="20" t="n">
        <x:v>1</x:v>
      </x:c>
      <x:c r="Z25" s="20" t="str">
        <x:v>原表直接披露0.79%；Stage 4计算值升级为原文比例。</x:v>
      </x:c>
      <x:c r="AA25" s="20" t="str">
        <x:v>可进入唯一测量层；不回写冻结文件</x:v>
      </x:c>
    </x:row>
    <x:row r="26" ht="54" customHeight="1">
      <x:c r="A26" s="44" t="str">
        <x:v>301563</x:v>
      </x:c>
      <x:c r="B26" s="20" t="str">
        <x:v>云汉芯城</x:v>
      </x:c>
      <x:c r="C26" s="20" t="str">
        <x:v>EDGE-022</x:v>
      </x:c>
      <x:c r="D26" s="20" t="str">
        <x:v>PATH-022</x:v>
      </x:c>
      <x:c r="E26" s="20" t="str">
        <x:v>WEEK8_FROZEN</x:v>
      </x:c>
      <x:c r="F26" s="20" t="str">
        <x:v>ENT-031</x:v>
      </x:c>
      <x:c r="G26" s="20" t="str">
        <x:v>福建开京集团有限责任公司</x:v>
      </x:c>
      <x:c r="H26" s="20" t="str">
        <x:v>PEVC_UNRESOLVED</x:v>
      </x:c>
      <x:c r="I26" s="20" t="str">
        <x:v>EQUITY_HOLDING</x:v>
      </x:c>
      <x:c r="J26" s="20" t="str">
        <x:v>DIRECT</x:v>
      </x:c>
      <x:c r="K26" s="20" t="str">
        <x:v>ISSUER_LEVEL</x:v>
      </x:c>
      <x:c r="L26" s="20" t="str">
        <x:v>CE-013-02</x:v>
      </x:c>
      <x:c r="M26" s="20"/>
      <x:c r="N26" s="20" t="str">
        <x:v>2020-09</x:v>
      </x:c>
      <x:c r="O26" s="20" t="str">
        <x:v>EXPLICIT_DISCLOSED_RATIO</x:v>
      </x:c>
      <x:c r="P26" s="26" t="n">
        <x:v>0.0024</x:v>
      </x:c>
      <x:c r="Q26" s="20" t="str">
        <x:v>M-301563-CE013-FJKJ</x:v>
      </x:c>
      <x:c r="R26" s="20" t="str">
        <x:v>EXPLICIT_DISCLOSED_RATIO</x:v>
      </x:c>
      <x:c r="S26" s="20" t="n">
        <x:v>116280</x:v>
      </x:c>
      <x:c r="T26" s="20" t="n">
        <x:v>48837074</x:v>
      </x:c>
      <x:c r="U26" s="20" t="str">
        <x:v>原披露数量单位</x:v>
      </x:c>
      <x:c r="V26" s="20" t="str">
        <x:v>S5-YH-P63-64</x:v>
      </x:c>
      <x:c r="W26" s="20" t="str">
        <x:v>63-64</x:v>
      </x:c>
      <x:c r="X26" s="20" t="str">
        <x:v>ORIGINAL_PROSPECTUS_VERIFIED</x:v>
      </x:c>
      <x:c r="Y26" s="20" t="n">
        <x:v>1</x:v>
      </x:c>
      <x:c r="Z26" s="20" t="str">
        <x:v>交易后股东表直接披露0.24%。</x:v>
      </x:c>
      <x:c r="AA26" s="20" t="str">
        <x:v>可进入唯一测量层；不回写冻结文件</x:v>
      </x:c>
    </x:row>
    <x:row r="27" ht="54" customHeight="1">
      <x:c r="A27" s="44" t="str">
        <x:v>301563</x:v>
      </x:c>
      <x:c r="B27" s="20" t="str">
        <x:v>云汉芯城</x:v>
      </x:c>
      <x:c r="C27" s="20" t="str">
        <x:v>EDGE-023</x:v>
      </x:c>
      <x:c r="D27" s="20" t="str">
        <x:v>PATH-023</x:v>
      </x:c>
      <x:c r="E27" s="20" t="str">
        <x:v>WEEK8_FROZEN</x:v>
      </x:c>
      <x:c r="F27" s="20" t="str">
        <x:v>ENT-036</x:v>
      </x:c>
      <x:c r="G27" s="20" t="str">
        <x:v>萍乡市湘裕君源企业管理中心（有限合伙）</x:v>
      </x:c>
      <x:c r="H27" s="20" t="str">
        <x:v>PEVC_UNRESOLVED</x:v>
      </x:c>
      <x:c r="I27" s="20" t="str">
        <x:v>EQUITY_HOLDING</x:v>
      </x:c>
      <x:c r="J27" s="20" t="str">
        <x:v>DIRECT</x:v>
      </x:c>
      <x:c r="K27" s="20" t="str">
        <x:v>ISSUER_LEVEL</x:v>
      </x:c>
      <x:c r="L27" s="20" t="str">
        <x:v>CE-013-02</x:v>
      </x:c>
      <x:c r="M27" s="20"/>
      <x:c r="N27" s="20" t="str">
        <x:v>2020-09</x:v>
      </x:c>
      <x:c r="O27" s="20" t="str">
        <x:v>EXPLICIT_DISCLOSED_RATIO</x:v>
      </x:c>
      <x:c r="P27" s="26" t="n">
        <x:v>0.0058</x:v>
      </x:c>
      <x:c r="Q27" s="20" t="str">
        <x:v>M-301563-CE013-XYJY</x:v>
      </x:c>
      <x:c r="R27" s="20" t="str">
        <x:v>EXPLICIT_DISCLOSED_RATIO</x:v>
      </x:c>
      <x:c r="S27" s="20" t="n">
        <x:v>285000</x:v>
      </x:c>
      <x:c r="T27" s="20" t="n">
        <x:v>48837074</x:v>
      </x:c>
      <x:c r="U27" s="20" t="str">
        <x:v>原披露数量单位</x:v>
      </x:c>
      <x:c r="V27" s="20" t="str">
        <x:v>S5-YH-P63-64</x:v>
      </x:c>
      <x:c r="W27" s="20" t="str">
        <x:v>63-64</x:v>
      </x:c>
      <x:c r="X27" s="20" t="str">
        <x:v>ORIGINAL_PROSPECTUS_VERIFIED</x:v>
      </x:c>
      <x:c r="Y27" s="20" t="n">
        <x:v>1</x:v>
      </x:c>
      <x:c r="Z27" s="20" t="str">
        <x:v>交易后股东表直接披露0.58%。</x:v>
      </x:c>
      <x:c r="AA27" s="20" t="str">
        <x:v>可进入唯一测量层；不回写冻结文件</x:v>
      </x:c>
    </x:row>
    <x:row r="28" ht="54" customHeight="1">
      <x:c r="A28" s="44" t="str">
        <x:v>301563</x:v>
      </x:c>
      <x:c r="B28" s="20" t="str">
        <x:v>云汉芯城</x:v>
      </x:c>
      <x:c r="C28" s="20" t="str">
        <x:v>EDGE-024</x:v>
      </x:c>
      <x:c r="D28" s="20" t="str">
        <x:v>PATH-024</x:v>
      </x:c>
      <x:c r="E28" s="20" t="str">
        <x:v>WEEK8_FROZEN</x:v>
      </x:c>
      <x:c r="F28" s="20" t="str">
        <x:v>ENT-013</x:v>
      </x:c>
      <x:c r="G28" s="20" t="str">
        <x:v>厦门富海天健创业投资合伙企业（有限合伙）</x:v>
      </x:c>
      <x:c r="H28" s="20" t="str">
        <x:v>PEVC_CONFIRMED</x:v>
      </x:c>
      <x:c r="I28" s="20" t="str">
        <x:v>TRANSFER</x:v>
      </x:c>
      <x:c r="J28" s="20" t="str">
        <x:v>DIRECT</x:v>
      </x:c>
      <x:c r="K28" s="20" t="str">
        <x:v>SHAREHOLDER_LEVEL</x:v>
      </x:c>
      <x:c r="L28" s="20" t="str">
        <x:v>CE-009</x:v>
      </x:c>
      <x:c r="M28" s="20"/>
      <x:c r="N28" s="20" t="str">
        <x:v>2018-04</x:v>
      </x:c>
      <x:c r="O28" s="20" t="str">
        <x:v>EXPLICIT_DISCLOSED_RATIO</x:v>
      </x:c>
      <x:c r="P28" s="26" t="n">
        <x:v>0.0167</x:v>
      </x:c>
      <x:c r="Q28" s="20" t="str">
        <x:v>M-301563-CE009-TIANJIAN</x:v>
      </x:c>
      <x:c r="R28" s="20" t="str">
        <x:v>EXPLICIT_DISCLOSED_RATIO</x:v>
      </x:c>
      <x:c r="S28" s="20" t="n">
        <x:v>666680</x:v>
      </x:c>
      <x:c r="T28" s="20" t="n">
        <x:v>40000000</x:v>
      </x:c>
      <x:c r="U28" s="20" t="str">
        <x:v>原披露数量单位</x:v>
      </x:c>
      <x:c r="V28" s="20" t="str">
        <x:v>CE-009-E02</x:v>
      </x:c>
      <x:c r="W28" s="20" t="str">
        <x:v>58</x:v>
      </x:c>
      <x:c r="X28" s="20" t="str">
        <x:v>ORIGINAL_PROSPECTUS_VERIFIED</x:v>
      </x:c>
      <x:c r="Y28" s="20" t="n">
        <x:v>0</x:v>
      </x:c>
      <x:c r="Z28" s="20" t="str">
        <x:v>同一投资者—事件的TRANSFER重复语义边。</x:v>
      </x:c>
      <x:c r="AA28" s="20" t="str">
        <x:v>重复语义边；展示比例但统计必须去重</x:v>
      </x:c>
    </x:row>
    <x:row r="29" ht="54" customHeight="1">
      <x:c r="A29" s="44" t="str">
        <x:v>301563</x:v>
      </x:c>
      <x:c r="B29" s="20" t="str">
        <x:v>云汉芯城</x:v>
      </x:c>
      <x:c r="C29" s="20" t="str">
        <x:v>EDGE-025</x:v>
      </x:c>
      <x:c r="D29" s="20" t="str">
        <x:v>PATH-025</x:v>
      </x:c>
      <x:c r="E29" s="20" t="str">
        <x:v>WEEK8_FROZEN</x:v>
      </x:c>
      <x:c r="F29" s="20" t="str">
        <x:v>ENT-009</x:v>
      </x:c>
      <x:c r="G29" s="20" t="str">
        <x:v>丰利财富（北京）国际资本管理股份有限公司</x:v>
      </x:c>
      <x:c r="H29" s="20" t="str">
        <x:v>PEVC_RELATED</x:v>
      </x:c>
      <x:c r="I29" s="20" t="str">
        <x:v>TRANSFER</x:v>
      </x:c>
      <x:c r="J29" s="20" t="str">
        <x:v>DIRECT</x:v>
      </x:c>
      <x:c r="K29" s="20" t="str">
        <x:v>SHAREHOLDER_LEVEL</x:v>
      </x:c>
      <x:c r="L29" s="20" t="str">
        <x:v>CE-009</x:v>
      </x:c>
      <x:c r="M29" s="20"/>
      <x:c r="N29" s="20" t="str">
        <x:v>2018-04</x:v>
      </x:c>
      <x:c r="O29" s="20" t="str">
        <x:v>NOT_COMPUTABLE_RETAINED_EVIDENCE</x:v>
      </x:c>
      <x:c r="P29" s="26"/>
      <x:c r="Q29" s="20"/>
      <x:c r="R29" s="20"/>
      <x:c r="S29" s="20"/>
      <x:c r="T29" s="20"/>
      <x:c r="U29" s="20" t="str">
        <x:v>不适用</x:v>
      </x:c>
      <x:c r="V29" s="20" t="str">
        <x:v>EVD-004;EVD-005</x:v>
      </x:c>
      <x:c r="W29" s="20" t="str">
        <x:v>58</x:v>
      </x:c>
      <x:c r="X29" s="20" t="str">
        <x:v>ORIGINAL_EXCERPT_RETAINED</x:v>
      </x:c>
      <x:c r="Y29" s="20" t="n">
        <x:v>0</x:v>
      </x:c>
      <x:c r="Z29" s="20"/>
      <x:c r="AA29" s="20" t="str">
        <x:v>原文仍不足以在同一交易时点闭合比例；保留null。</x:v>
      </x:c>
    </x:row>
    <x:row r="30" ht="54" customHeight="1">
      <x:c r="A30" s="44" t="str">
        <x:v>301563</x:v>
      </x:c>
      <x:c r="B30" s="20" t="str">
        <x:v>云汉芯城</x:v>
      </x:c>
      <x:c r="C30" s="20" t="str">
        <x:v>EDGE-026</x:v>
      </x:c>
      <x:c r="D30" s="20" t="str">
        <x:v>PATH-026</x:v>
      </x:c>
      <x:c r="E30" s="20" t="str">
        <x:v>WEEK8_FROZEN</x:v>
      </x:c>
      <x:c r="F30" s="20" t="str">
        <x:v>ENT-003</x:v>
      </x:c>
      <x:c r="G30" s="20" t="str">
        <x:v>曾烨</x:v>
      </x:c>
      <x:c r="H30" s="20" t="str">
        <x:v>PEVC_EXCLUDED</x:v>
      </x:c>
      <x:c r="I30" s="20" t="str">
        <x:v>TRANSFER</x:v>
      </x:c>
      <x:c r="J30" s="20" t="str">
        <x:v>DIRECT</x:v>
      </x:c>
      <x:c r="K30" s="20" t="str">
        <x:v>SHAREHOLDER_LEVEL</x:v>
      </x:c>
      <x:c r="L30" s="20" t="str">
        <x:v>CE-010-03</x:v>
      </x:c>
      <x:c r="M30" s="20"/>
      <x:c r="N30" s="20" t="str">
        <x:v>2018-06</x:v>
      </x:c>
      <x:c r="O30" s="20" t="str">
        <x:v>NOT_COMPUTABLE_RETAINED_EVIDENCE</x:v>
      </x:c>
      <x:c r="P30" s="26"/>
      <x:c r="Q30" s="20"/>
      <x:c r="R30" s="20"/>
      <x:c r="S30" s="20"/>
      <x:c r="T30" s="20"/>
      <x:c r="U30" s="20" t="str">
        <x:v>不适用</x:v>
      </x:c>
      <x:c r="V30" s="20" t="str">
        <x:v>EVD-007</x:v>
      </x:c>
      <x:c r="W30" s="20" t="str">
        <x:v>59</x:v>
      </x:c>
      <x:c r="X30" s="20" t="str">
        <x:v>ORIGINAL_EXCERPT_RETAINED</x:v>
      </x:c>
      <x:c r="Y30" s="20" t="n">
        <x:v>0</x:v>
      </x:c>
      <x:c r="Z30" s="20"/>
      <x:c r="AA30" s="20" t="str">
        <x:v>原文仍不足以在同一交易时点闭合比例；保留null。</x:v>
      </x:c>
    </x:row>
    <x:row r="31" ht="54" customHeight="1">
      <x:c r="A31" s="44" t="str">
        <x:v>301563</x:v>
      </x:c>
      <x:c r="B31" s="20" t="str">
        <x:v>云汉芯城</x:v>
      </x:c>
      <x:c r="C31" s="20" t="str">
        <x:v>EDGE-027</x:v>
      </x:c>
      <x:c r="D31" s="20" t="str">
        <x:v>PATH-027</x:v>
      </x:c>
      <x:c r="E31" s="20" t="str">
        <x:v>WEEK8_FROZEN</x:v>
      </x:c>
      <x:c r="F31" s="20" t="str">
        <x:v>ENT-003</x:v>
      </x:c>
      <x:c r="G31" s="20" t="str">
        <x:v>曾烨</x:v>
      </x:c>
      <x:c r="H31" s="20" t="str">
        <x:v>PEVC_EXCLUDED</x:v>
      </x:c>
      <x:c r="I31" s="20" t="str">
        <x:v>TRANSFER</x:v>
      </x:c>
      <x:c r="J31" s="20" t="str">
        <x:v>DIRECT</x:v>
      </x:c>
      <x:c r="K31" s="20" t="str">
        <x:v>SHAREHOLDER_LEVEL</x:v>
      </x:c>
      <x:c r="L31" s="20" t="str">
        <x:v>CE-010-03</x:v>
      </x:c>
      <x:c r="M31" s="20"/>
      <x:c r="N31" s="20" t="str">
        <x:v>2018-06</x:v>
      </x:c>
      <x:c r="O31" s="20" t="str">
        <x:v>NOT_COMPUTABLE_RETAINED_EVIDENCE</x:v>
      </x:c>
      <x:c r="P31" s="26"/>
      <x:c r="Q31" s="20"/>
      <x:c r="R31" s="20"/>
      <x:c r="S31" s="20"/>
      <x:c r="T31" s="20"/>
      <x:c r="U31" s="20" t="str">
        <x:v>不适用</x:v>
      </x:c>
      <x:c r="V31" s="20" t="str">
        <x:v>EVD-007</x:v>
      </x:c>
      <x:c r="W31" s="20" t="str">
        <x:v>59</x:v>
      </x:c>
      <x:c r="X31" s="20" t="str">
        <x:v>ORIGINAL_EXCERPT_RETAINED</x:v>
      </x:c>
      <x:c r="Y31" s="20" t="n">
        <x:v>0</x:v>
      </x:c>
      <x:c r="Z31" s="20"/>
      <x:c r="AA31" s="20" t="str">
        <x:v>原文仍不足以在同一交易时点闭合比例；保留null。</x:v>
      </x:c>
    </x:row>
    <x:row r="32" ht="54" customHeight="1">
      <x:c r="A32" s="44" t="str">
        <x:v>301563</x:v>
      </x:c>
      <x:c r="B32" s="20" t="str">
        <x:v>云汉芯城</x:v>
      </x:c>
      <x:c r="C32" s="20" t="str">
        <x:v>EDGE-028</x:v>
      </x:c>
      <x:c r="D32" s="20" t="str">
        <x:v>PATH-028</x:v>
      </x:c>
      <x:c r="E32" s="20" t="str">
        <x:v>WEEK8_FROZEN</x:v>
      </x:c>
      <x:c r="F32" s="20" t="str">
        <x:v>ENT-002</x:v>
      </x:c>
      <x:c r="G32" s="20" t="str">
        <x:v>刘云锋</x:v>
      </x:c>
      <x:c r="H32" s="20" t="str">
        <x:v>PEVC_EXCLUDED</x:v>
      </x:c>
      <x:c r="I32" s="20" t="str">
        <x:v>TRANSFER</x:v>
      </x:c>
      <x:c r="J32" s="20" t="str">
        <x:v>DIRECT</x:v>
      </x:c>
      <x:c r="K32" s="20" t="str">
        <x:v>SHAREHOLDER_LEVEL</x:v>
      </x:c>
      <x:c r="L32" s="20" t="str">
        <x:v>CE-010-03</x:v>
      </x:c>
      <x:c r="M32" s="20"/>
      <x:c r="N32" s="20" t="str">
        <x:v>2018-06</x:v>
      </x:c>
      <x:c r="O32" s="20" t="str">
        <x:v>NOT_COMPUTABLE_RETAINED_EVIDENCE</x:v>
      </x:c>
      <x:c r="P32" s="26"/>
      <x:c r="Q32" s="20"/>
      <x:c r="R32" s="20"/>
      <x:c r="S32" s="20"/>
      <x:c r="T32" s="20"/>
      <x:c r="U32" s="20" t="str">
        <x:v>不适用</x:v>
      </x:c>
      <x:c r="V32" s="20" t="str">
        <x:v>EVD-007</x:v>
      </x:c>
      <x:c r="W32" s="20" t="str">
        <x:v>59</x:v>
      </x:c>
      <x:c r="X32" s="20" t="str">
        <x:v>ORIGINAL_EXCERPT_RETAINED</x:v>
      </x:c>
      <x:c r="Y32" s="20" t="n">
        <x:v>0</x:v>
      </x:c>
      <x:c r="Z32" s="20"/>
      <x:c r="AA32" s="20" t="str">
        <x:v>原文仍不足以在同一交易时点闭合比例；保留null。</x:v>
      </x:c>
    </x:row>
    <x:row r="33" ht="54" customHeight="1">
      <x:c r="A33" s="44" t="str">
        <x:v>301563</x:v>
      </x:c>
      <x:c r="B33" s="20" t="str">
        <x:v>云汉芯城</x:v>
      </x:c>
      <x:c r="C33" s="20" t="str">
        <x:v>EDGE-029</x:v>
      </x:c>
      <x:c r="D33" s="20" t="str">
        <x:v>PATH-029</x:v>
      </x:c>
      <x:c r="E33" s="20" t="str">
        <x:v>WEEK8_FROZEN</x:v>
      </x:c>
      <x:c r="F33" s="20" t="str">
        <x:v>ENT-002</x:v>
      </x:c>
      <x:c r="G33" s="20" t="str">
        <x:v>刘云锋</x:v>
      </x:c>
      <x:c r="H33" s="20" t="str">
        <x:v>PEVC_EXCLUDED</x:v>
      </x:c>
      <x:c r="I33" s="20" t="str">
        <x:v>TRANSFER</x:v>
      </x:c>
      <x:c r="J33" s="20" t="str">
        <x:v>DIRECT</x:v>
      </x:c>
      <x:c r="K33" s="20" t="str">
        <x:v>SHAREHOLDER_LEVEL</x:v>
      </x:c>
      <x:c r="L33" s="20" t="str">
        <x:v>CE-010-03</x:v>
      </x:c>
      <x:c r="M33" s="20"/>
      <x:c r="N33" s="20" t="str">
        <x:v>2018-06</x:v>
      </x:c>
      <x:c r="O33" s="20" t="str">
        <x:v>NOT_COMPUTABLE_RETAINED_EVIDENCE</x:v>
      </x:c>
      <x:c r="P33" s="26"/>
      <x:c r="Q33" s="20"/>
      <x:c r="R33" s="20"/>
      <x:c r="S33" s="20"/>
      <x:c r="T33" s="20"/>
      <x:c r="U33" s="20" t="str">
        <x:v>不适用</x:v>
      </x:c>
      <x:c r="V33" s="20" t="str">
        <x:v>EVD-007</x:v>
      </x:c>
      <x:c r="W33" s="20" t="str">
        <x:v>59</x:v>
      </x:c>
      <x:c r="X33" s="20" t="str">
        <x:v>ORIGINAL_EXCERPT_RETAINED</x:v>
      </x:c>
      <x:c r="Y33" s="20" t="n">
        <x:v>0</x:v>
      </x:c>
      <x:c r="Z33" s="20"/>
      <x:c r="AA33" s="20" t="str">
        <x:v>原文仍不足以在同一交易时点闭合比例；保留null。</x:v>
      </x:c>
    </x:row>
    <x:row r="34" ht="54" customHeight="1">
      <x:c r="A34" s="44" t="str">
        <x:v>301563</x:v>
      </x:c>
      <x:c r="B34" s="20" t="str">
        <x:v>云汉芯城</x:v>
      </x:c>
      <x:c r="C34" s="20" t="str">
        <x:v>EDGE-030</x:v>
      </x:c>
      <x:c r="D34" s="20" t="str">
        <x:v>PATH-030</x:v>
      </x:c>
      <x:c r="E34" s="20" t="str">
        <x:v>WEEK8_FROZEN</x:v>
      </x:c>
      <x:c r="F34" s="20" t="str">
        <x:v>ENT-003</x:v>
      </x:c>
      <x:c r="G34" s="20" t="str">
        <x:v>曾烨</x:v>
      </x:c>
      <x:c r="H34" s="20" t="str">
        <x:v>PEVC_EXCLUDED</x:v>
      </x:c>
      <x:c r="I34" s="20" t="str">
        <x:v>TRANSFER</x:v>
      </x:c>
      <x:c r="J34" s="20" t="str">
        <x:v>DIRECT</x:v>
      </x:c>
      <x:c r="K34" s="20" t="str">
        <x:v>SHAREHOLDER_LEVEL</x:v>
      </x:c>
      <x:c r="L34" s="20" t="str">
        <x:v>CE-013-02</x:v>
      </x:c>
      <x:c r="M34" s="20"/>
      <x:c r="N34" s="20" t="str">
        <x:v>2020-09</x:v>
      </x:c>
      <x:c r="O34" s="20" t="str">
        <x:v>NOT_COMPUTABLE_RETAINED_EVIDENCE</x:v>
      </x:c>
      <x:c r="P34" s="26"/>
      <x:c r="Q34" s="20"/>
      <x:c r="R34" s="20"/>
      <x:c r="S34" s="20"/>
      <x:c r="T34" s="20"/>
      <x:c r="U34" s="20" t="str">
        <x:v>不适用</x:v>
      </x:c>
      <x:c r="V34" s="20" t="str">
        <x:v>EVD-011</x:v>
      </x:c>
      <x:c r="W34" s="20" t="str">
        <x:v>64</x:v>
      </x:c>
      <x:c r="X34" s="20" t="str">
        <x:v>ORIGINAL_EXCERPT_RETAINED</x:v>
      </x:c>
      <x:c r="Y34" s="20" t="n">
        <x:v>0</x:v>
      </x:c>
      <x:c r="Z34" s="20"/>
      <x:c r="AA34" s="20" t="str">
        <x:v>原文仍不足以在同一交易时点闭合比例；保留null。</x:v>
      </x:c>
    </x:row>
    <x:row r="35" ht="54" customHeight="1">
      <x:c r="A35" s="44" t="str">
        <x:v>301563</x:v>
      </x:c>
      <x:c r="B35" s="20" t="str">
        <x:v>云汉芯城</x:v>
      </x:c>
      <x:c r="C35" s="20" t="str">
        <x:v>EDGE-031</x:v>
      </x:c>
      <x:c r="D35" s="20" t="str">
        <x:v>PATH-031</x:v>
      </x:c>
      <x:c r="E35" s="20" t="str">
        <x:v>WEEK8_FROZEN</x:v>
      </x:c>
      <x:c r="F35" s="20" t="str">
        <x:v>ENT-002</x:v>
      </x:c>
      <x:c r="G35" s="20" t="str">
        <x:v>刘云锋</x:v>
      </x:c>
      <x:c r="H35" s="20" t="str">
        <x:v>PEVC_EXCLUDED</x:v>
      </x:c>
      <x:c r="I35" s="20" t="str">
        <x:v>TRANSFER</x:v>
      </x:c>
      <x:c r="J35" s="20" t="str">
        <x:v>DIRECT</x:v>
      </x:c>
      <x:c r="K35" s="20" t="str">
        <x:v>SHAREHOLDER_LEVEL</x:v>
      </x:c>
      <x:c r="L35" s="20" t="str">
        <x:v>CE-013-02</x:v>
      </x:c>
      <x:c r="M35" s="20"/>
      <x:c r="N35" s="20" t="str">
        <x:v>2020-09</x:v>
      </x:c>
      <x:c r="O35" s="20" t="str">
        <x:v>NOT_COMPUTABLE_RETAINED_EVIDENCE</x:v>
      </x:c>
      <x:c r="P35" s="26"/>
      <x:c r="Q35" s="20"/>
      <x:c r="R35" s="20"/>
      <x:c r="S35" s="20"/>
      <x:c r="T35" s="20"/>
      <x:c r="U35" s="20" t="str">
        <x:v>不适用</x:v>
      </x:c>
      <x:c r="V35" s="20" t="str">
        <x:v>EVD-011</x:v>
      </x:c>
      <x:c r="W35" s="20" t="str">
        <x:v>64</x:v>
      </x:c>
      <x:c r="X35" s="20" t="str">
        <x:v>ORIGINAL_EXCERPT_RETAINED</x:v>
      </x:c>
      <x:c r="Y35" s="20" t="n">
        <x:v>0</x:v>
      </x:c>
      <x:c r="Z35" s="20"/>
      <x:c r="AA35" s="20" t="str">
        <x:v>原文仍不足以在同一交易时点闭合比例；保留null。</x:v>
      </x:c>
    </x:row>
    <x:row r="36" ht="54" customHeight="1">
      <x:c r="A36" s="44" t="str">
        <x:v>301563</x:v>
      </x:c>
      <x:c r="B36" s="20" t="str">
        <x:v>云汉芯城</x:v>
      </x:c>
      <x:c r="C36" s="20" t="str">
        <x:v>EDGE-032</x:v>
      </x:c>
      <x:c r="D36" s="20" t="str">
        <x:v>PATH-032</x:v>
      </x:c>
      <x:c r="E36" s="20" t="str">
        <x:v>WEEK8_FROZEN</x:v>
      </x:c>
      <x:c r="F36" s="20" t="str">
        <x:v>ENT-002</x:v>
      </x:c>
      <x:c r="G36" s="20" t="str">
        <x:v>刘云锋</x:v>
      </x:c>
      <x:c r="H36" s="20" t="str">
        <x:v>PEVC_EXCLUDED</x:v>
      </x:c>
      <x:c r="I36" s="20" t="str">
        <x:v>TRANSFER</x:v>
      </x:c>
      <x:c r="J36" s="20" t="str">
        <x:v>DIRECT</x:v>
      </x:c>
      <x:c r="K36" s="20" t="str">
        <x:v>SHAREHOLDER_LEVEL</x:v>
      </x:c>
      <x:c r="L36" s="20" t="str">
        <x:v>CE-013-02</x:v>
      </x:c>
      <x:c r="M36" s="20"/>
      <x:c r="N36" s="20" t="str">
        <x:v>2020-09</x:v>
      </x:c>
      <x:c r="O36" s="20" t="str">
        <x:v>NOT_COMPUTABLE_RETAINED_EVIDENCE</x:v>
      </x:c>
      <x:c r="P36" s="26"/>
      <x:c r="Q36" s="20"/>
      <x:c r="R36" s="20"/>
      <x:c r="S36" s="20"/>
      <x:c r="T36" s="20"/>
      <x:c r="U36" s="20" t="str">
        <x:v>不适用</x:v>
      </x:c>
      <x:c r="V36" s="20" t="str">
        <x:v>EVD-011</x:v>
      </x:c>
      <x:c r="W36" s="20" t="str">
        <x:v>64</x:v>
      </x:c>
      <x:c r="X36" s="20" t="str">
        <x:v>ORIGINAL_EXCERPT_RETAINED</x:v>
      </x:c>
      <x:c r="Y36" s="20" t="n">
        <x:v>0</x:v>
      </x:c>
      <x:c r="Z36" s="20"/>
      <x:c r="AA36" s="20" t="str">
        <x:v>原文仍不足以在同一交易时点闭合比例；保留null。</x:v>
      </x:c>
    </x:row>
    <x:row r="37" ht="54" customHeight="1">
      <x:c r="A37" s="44" t="str">
        <x:v>301563</x:v>
      </x:c>
      <x:c r="B37" s="20" t="str">
        <x:v>云汉芯城</x:v>
      </x:c>
      <x:c r="C37" s="20" t="str">
        <x:v>EDGE-033</x:v>
      </x:c>
      <x:c r="D37" s="20" t="str">
        <x:v>PATH-033</x:v>
      </x:c>
      <x:c r="E37" s="20" t="str">
        <x:v>WEEK8_FROZEN</x:v>
      </x:c>
      <x:c r="F37" s="20" t="str">
        <x:v>ENT-020</x:v>
      </x:c>
      <x:c r="G37" s="20" t="str">
        <x:v>李文发</x:v>
      </x:c>
      <x:c r="H37" s="20" t="str">
        <x:v>PEVC_EXCLUDED</x:v>
      </x:c>
      <x:c r="I37" s="20" t="str">
        <x:v>TRANSFER</x:v>
      </x:c>
      <x:c r="J37" s="20" t="str">
        <x:v>DIRECT</x:v>
      </x:c>
      <x:c r="K37" s="20" t="str">
        <x:v>SHAREHOLDER_LEVEL</x:v>
      </x:c>
      <x:c r="L37" s="20" t="str">
        <x:v>CE-013-02</x:v>
      </x:c>
      <x:c r="M37" s="20"/>
      <x:c r="N37" s="20" t="str">
        <x:v>2020-09</x:v>
      </x:c>
      <x:c r="O37" s="20" t="str">
        <x:v>NOT_COMPUTABLE_RETAINED_EVIDENCE</x:v>
      </x:c>
      <x:c r="P37" s="26"/>
      <x:c r="Q37" s="20"/>
      <x:c r="R37" s="20"/>
      <x:c r="S37" s="20"/>
      <x:c r="T37" s="20"/>
      <x:c r="U37" s="20" t="str">
        <x:v>不适用</x:v>
      </x:c>
      <x:c r="V37" s="20" t="str">
        <x:v>EVD-011</x:v>
      </x:c>
      <x:c r="W37" s="20" t="str">
        <x:v>64</x:v>
      </x:c>
      <x:c r="X37" s="20" t="str">
        <x:v>ORIGINAL_EXCERPT_RETAINED</x:v>
      </x:c>
      <x:c r="Y37" s="20" t="n">
        <x:v>0</x:v>
      </x:c>
      <x:c r="Z37" s="20"/>
      <x:c r="AA37" s="20" t="str">
        <x:v>原文仍不足以在同一交易时点闭合比例；保留null。</x:v>
      </x:c>
    </x:row>
    <x:row r="38" ht="54" customHeight="1">
      <x:c r="A38" s="44" t="str">
        <x:v>301563</x:v>
      </x:c>
      <x:c r="B38" s="20" t="str">
        <x:v>云汉芯城</x:v>
      </x:c>
      <x:c r="C38" s="20" t="str">
        <x:v>EDGE-034</x:v>
      </x:c>
      <x:c r="D38" s="20" t="str">
        <x:v>PATH-034</x:v>
      </x:c>
      <x:c r="E38" s="20" t="str">
        <x:v>WEEK8_FROZEN</x:v>
      </x:c>
      <x:c r="F38" s="20" t="str">
        <x:v>ENT-021</x:v>
      </x:c>
      <x:c r="G38" s="20" t="str">
        <x:v>秦国君</x:v>
      </x:c>
      <x:c r="H38" s="20" t="str">
        <x:v>PEVC_EXCLUDED</x:v>
      </x:c>
      <x:c r="I38" s="20" t="str">
        <x:v>TRANSFER</x:v>
      </x:c>
      <x:c r="J38" s="20" t="str">
        <x:v>DIRECT</x:v>
      </x:c>
      <x:c r="K38" s="20" t="str">
        <x:v>SHAREHOLDER_LEVEL</x:v>
      </x:c>
      <x:c r="L38" s="20" t="str">
        <x:v>CE-013-02</x:v>
      </x:c>
      <x:c r="M38" s="20"/>
      <x:c r="N38" s="20" t="str">
        <x:v>2020-09</x:v>
      </x:c>
      <x:c r="O38" s="20" t="str">
        <x:v>NOT_COMPUTABLE_RETAINED_EVIDENCE</x:v>
      </x:c>
      <x:c r="P38" s="26"/>
      <x:c r="Q38" s="20"/>
      <x:c r="R38" s="20"/>
      <x:c r="S38" s="20"/>
      <x:c r="T38" s="20"/>
      <x:c r="U38" s="20" t="str">
        <x:v>不适用</x:v>
      </x:c>
      <x:c r="V38" s="20" t="str">
        <x:v>EVD-011</x:v>
      </x:c>
      <x:c r="W38" s="20" t="str">
        <x:v>64</x:v>
      </x:c>
      <x:c r="X38" s="20" t="str">
        <x:v>ORIGINAL_EXCERPT_RETAINED</x:v>
      </x:c>
      <x:c r="Y38" s="20" t="n">
        <x:v>0</x:v>
      </x:c>
      <x:c r="Z38" s="20"/>
      <x:c r="AA38" s="20" t="str">
        <x:v>原文仍不足以在同一交易时点闭合比例；保留null。</x:v>
      </x:c>
    </x:row>
    <x:row r="39" ht="54" customHeight="1">
      <x:c r="A39" s="44" t="str">
        <x:v>301563</x:v>
      </x:c>
      <x:c r="B39" s="20" t="str">
        <x:v>云汉芯城</x:v>
      </x:c>
      <x:c r="C39" s="20" t="str">
        <x:v>EDGE-035</x:v>
      </x:c>
      <x:c r="D39" s="20" t="str">
        <x:v>PATH-035</x:v>
      </x:c>
      <x:c r="E39" s="20" t="str">
        <x:v>WEEK8_FROZEN</x:v>
      </x:c>
      <x:c r="F39" s="20" t="str">
        <x:v>ENT-005</x:v>
      </x:c>
      <x:c r="G39" s="20" t="str">
        <x:v>武汉力源信息技术股份有限公司</x:v>
      </x:c>
      <x:c r="H39" s="20" t="str">
        <x:v>PEVC_EXCLUDED</x:v>
      </x:c>
      <x:c r="I39" s="20" t="str">
        <x:v>CAPITAL_INCREASE</x:v>
      </x:c>
      <x:c r="J39" s="20" t="str">
        <x:v>DIRECT</x:v>
      </x:c>
      <x:c r="K39" s="20" t="str">
        <x:v>ISSUER_LEVEL</x:v>
      </x:c>
      <x:c r="L39" s="20" t="str">
        <x:v>CE-004</x:v>
      </x:c>
      <x:c r="M39" s="20"/>
      <x:c r="N39" s="20" t="str">
        <x:v>2014-08</x:v>
      </x:c>
      <x:c r="O39" s="20" t="str">
        <x:v>EXPLICIT_DISCLOSED_RATIO</x:v>
      </x:c>
      <x:c r="P39" s="26" t="n">
        <x:v>0.11</x:v>
      </x:c>
      <x:c r="Q39" s="20" t="str">
        <x:v>M-301563-CE004-LIYUAN</x:v>
      </x:c>
      <x:c r="R39" s="20" t="str">
        <x:v>EXPLICIT_DISCLOSED_RATIO</x:v>
      </x:c>
      <x:c r="S39" s="20" t="n">
        <x:v>141025</x:v>
      </x:c>
      <x:c r="T39" s="20" t="n">
        <x:v>1282050</x:v>
      </x:c>
      <x:c r="U39" s="20" t="str">
        <x:v>注册资本（元）</x:v>
      </x:c>
      <x:c r="V39" s="20" t="str">
        <x:v>S6-YH-2014-LY-ANN</x:v>
      </x:c>
      <x:c r="W39" s="20" t="str">
        <x:v>PDF第5页</x:v>
      </x:c>
      <x:c r="X39" s="20" t="str">
        <x:v>ORIGINAL_LISTED_COMPANY_DISCLOSURE</x:v>
      </x:c>
      <x:c r="Y39" s="20" t="n">
        <x:v>0</x:v>
      </x:c>
      <x:c r="Z39" s="20" t="str">
        <x:v>同一投资者—事件的CAPITAL_INCREASE重复语义边。</x:v>
      </x:c>
      <x:c r="AA39" s="20" t="str">
        <x:v>重复语义边；展示比例但统计必须去重</x:v>
      </x:c>
    </x:row>
    <x:row r="40" ht="54" customHeight="1">
      <x:c r="A40" s="44" t="str">
        <x:v>301563</x:v>
      </x:c>
      <x:c r="B40" s="20" t="str">
        <x:v>云汉芯城</x:v>
      </x:c>
      <x:c r="C40" s="20" t="str">
        <x:v>EDGE-036</x:v>
      </x:c>
      <x:c r="D40" s="20" t="str">
        <x:v>PATH-036</x:v>
      </x:c>
      <x:c r="E40" s="20" t="str">
        <x:v>WEEK8_FROZEN</x:v>
      </x:c>
      <x:c r="F40" s="20" t="str">
        <x:v>ENT-006</x:v>
      </x:c>
      <x:c r="G40" s="20" t="str">
        <x:v>东方富海（上海）创业投资企业（有限合伙）</x:v>
      </x:c>
      <x:c r="H40" s="20" t="str">
        <x:v>PEVC_CONFIRMED</x:v>
      </x:c>
      <x:c r="I40" s="20" t="str">
        <x:v>CAPITAL_INCREASE</x:v>
      </x:c>
      <x:c r="J40" s="20" t="str">
        <x:v>DIRECT</x:v>
      </x:c>
      <x:c r="K40" s="20" t="str">
        <x:v>ISSUER_LEVEL</x:v>
      </x:c>
      <x:c r="L40" s="20" t="str">
        <x:v>CE-004</x:v>
      </x:c>
      <x:c r="M40" s="20"/>
      <x:c r="N40" s="20" t="str">
        <x:v>2014-08</x:v>
      </x:c>
      <x:c r="O40" s="20" t="str">
        <x:v>EXPLICIT_DISCLOSED_RATIO</x:v>
      </x:c>
      <x:c r="P40" s="26" t="n">
        <x:v>0.055</x:v>
      </x:c>
      <x:c r="Q40" s="20" t="str">
        <x:v>M-301563-CE004-DFH</x:v>
      </x:c>
      <x:c r="R40" s="20" t="str">
        <x:v>EXPLICIT_DISCLOSED_RATIO</x:v>
      </x:c>
      <x:c r="S40" s="20" t="n">
        <x:v>70512.5</x:v>
      </x:c>
      <x:c r="T40" s="20" t="n">
        <x:v>1282050</x:v>
      </x:c>
      <x:c r="U40" s="20" t="str">
        <x:v>注册资本（元）</x:v>
      </x:c>
      <x:c r="V40" s="20" t="str">
        <x:v>S6-YH-2014-LY-ANN</x:v>
      </x:c>
      <x:c r="W40" s="20" t="str">
        <x:v>PDF第5页</x:v>
      </x:c>
      <x:c r="X40" s="20" t="str">
        <x:v>ORIGINAL_LISTED_COMPANY_DISCLOSURE</x:v>
      </x:c>
      <x:c r="Y40" s="20" t="n">
        <x:v>0</x:v>
      </x:c>
      <x:c r="Z40" s="20" t="str">
        <x:v>同一投资者—事件的CAPITAL_INCREASE重复语义边。</x:v>
      </x:c>
      <x:c r="AA40" s="20" t="str">
        <x:v>重复语义边；展示比例但统计必须去重</x:v>
      </x:c>
    </x:row>
    <x:row r="41" ht="54" customHeight="1">
      <x:c r="A41" s="44" t="str">
        <x:v>301563</x:v>
      </x:c>
      <x:c r="B41" s="20" t="str">
        <x:v>云汉芯城</x:v>
      </x:c>
      <x:c r="C41" s="20" t="str">
        <x:v>EDGE-037</x:v>
      </x:c>
      <x:c r="D41" s="20" t="str">
        <x:v>PATH-037</x:v>
      </x:c>
      <x:c r="E41" s="20" t="str">
        <x:v>WEEK8_FROZEN</x:v>
      </x:c>
      <x:c r="F41" s="20" t="str">
        <x:v>ENT-007</x:v>
      </x:c>
      <x:c r="G41" s="20" t="str">
        <x:v>芜湖富海浩研创业投资基金（有限合伙）</x:v>
      </x:c>
      <x:c r="H41" s="20" t="str">
        <x:v>PEVC_CONFIRMED</x:v>
      </x:c>
      <x:c r="I41" s="20" t="str">
        <x:v>CAPITAL_INCREASE</x:v>
      </x:c>
      <x:c r="J41" s="20" t="str">
        <x:v>DIRECT</x:v>
      </x:c>
      <x:c r="K41" s="20" t="str">
        <x:v>ISSUER_LEVEL</x:v>
      </x:c>
      <x:c r="L41" s="20" t="str">
        <x:v>CE-004</x:v>
      </x:c>
      <x:c r="M41" s="20"/>
      <x:c r="N41" s="20" t="str">
        <x:v>2014-08</x:v>
      </x:c>
      <x:c r="O41" s="20" t="str">
        <x:v>EXPLICIT_DISCLOSED_RATIO</x:v>
      </x:c>
      <x:c r="P41" s="26" t="n">
        <x:v>0.055</x:v>
      </x:c>
      <x:c r="Q41" s="20" t="str">
        <x:v>M-301563-CE004-WHFH</x:v>
      </x:c>
      <x:c r="R41" s="20" t="str">
        <x:v>EXPLICIT_DISCLOSED_RATIO</x:v>
      </x:c>
      <x:c r="S41" s="20" t="n">
        <x:v>70512.5</x:v>
      </x:c>
      <x:c r="T41" s="20" t="n">
        <x:v>1282050</x:v>
      </x:c>
      <x:c r="U41" s="20" t="str">
        <x:v>注册资本（元）</x:v>
      </x:c>
      <x:c r="V41" s="20" t="str">
        <x:v>S6-YH-2014-LY-ANN</x:v>
      </x:c>
      <x:c r="W41" s="20" t="str">
        <x:v>PDF第5页</x:v>
      </x:c>
      <x:c r="X41" s="20" t="str">
        <x:v>ORIGINAL_LISTED_COMPANY_DISCLOSURE</x:v>
      </x:c>
      <x:c r="Y41" s="20" t="n">
        <x:v>0</x:v>
      </x:c>
      <x:c r="Z41" s="20" t="str">
        <x:v>同一投资者—事件的CAPITAL_INCREASE重复语义边。</x:v>
      </x:c>
      <x:c r="AA41" s="20" t="str">
        <x:v>重复语义边；展示比例但统计必须去重</x:v>
      </x:c>
    </x:row>
    <x:row r="42" ht="54" customHeight="1">
      <x:c r="A42" s="44" t="str">
        <x:v>301563</x:v>
      </x:c>
      <x:c r="B42" s="20" t="str">
        <x:v>云汉芯城</x:v>
      </x:c>
      <x:c r="C42" s="20" t="str">
        <x:v>EDGE-038</x:v>
      </x:c>
      <x:c r="D42" s="20" t="str">
        <x:v>PATH-038</x:v>
      </x:c>
      <x:c r="E42" s="20" t="str">
        <x:v>WEEK8_FROZEN</x:v>
      </x:c>
      <x:c r="F42" s="20" t="str">
        <x:v>ENT-005</x:v>
      </x:c>
      <x:c r="G42" s="20" t="str">
        <x:v>武汉力源信息技术股份有限公司</x:v>
      </x:c>
      <x:c r="H42" s="20" t="str">
        <x:v>PEVC_EXCLUDED</x:v>
      </x:c>
      <x:c r="I42" s="20" t="str">
        <x:v>CAPITAL_INCREASE</x:v>
      </x:c>
      <x:c r="J42" s="20" t="str">
        <x:v>DIRECT</x:v>
      </x:c>
      <x:c r="K42" s="20" t="str">
        <x:v>ISSUER_LEVEL</x:v>
      </x:c>
      <x:c r="L42" s="20" t="str">
        <x:v>CE-005</x:v>
      </x:c>
      <x:c r="M42" s="20"/>
      <x:c r="N42" s="20" t="str">
        <x:v>2015-01</x:v>
      </x:c>
      <x:c r="O42" s="20" t="str">
        <x:v>EXPLICIT_DISCLOSED_RATIO</x:v>
      </x:c>
      <x:c r="P42" s="26" t="n">
        <x:v>0.135</x:v>
      </x:c>
      <x:c r="Q42" s="20" t="str">
        <x:v>M-301563-CE005-LIYUAN</x:v>
      </x:c>
      <x:c r="R42" s="20" t="str">
        <x:v>EXPLICIT_DISCLOSED_RATIO</x:v>
      </x:c>
      <x:c r="S42" s="20" t="n">
        <x:v>184932</x:v>
      </x:c>
      <x:c r="T42" s="20" t="n">
        <x:v>1369864</x:v>
      </x:c>
      <x:c r="U42" s="20" t="str">
        <x:v>注册资本（元）</x:v>
      </x:c>
      <x:c r="V42" s="20" t="str">
        <x:v>S6-YH-2014-LY-ANN</x:v>
      </x:c>
      <x:c r="W42" s="20" t="str">
        <x:v>PDF第5页</x:v>
      </x:c>
      <x:c r="X42" s="20" t="str">
        <x:v>ORIGINAL_LISTED_COMPANY_DISCLOSURE</x:v>
      </x:c>
      <x:c r="Y42" s="20" t="n">
        <x:v>1</x:v>
      </x:c>
      <x:c r="Z42" s="20" t="str">
        <x:v>第二次增资后股权结构表直接披露13.50%。</x:v>
      </x:c>
      <x:c r="AA42" s="20" t="str">
        <x:v>可进入唯一测量层；不回写冻结文件</x:v>
      </x:c>
    </x:row>
    <x:row r="43" ht="54" customHeight="1">
      <x:c r="A43" s="44" t="str">
        <x:v>301563</x:v>
      </x:c>
      <x:c r="B43" s="20" t="str">
        <x:v>云汉芯城</x:v>
      </x:c>
      <x:c r="C43" s="20" t="str">
        <x:v>EDGE-039</x:v>
      </x:c>
      <x:c r="D43" s="20" t="str">
        <x:v>PATH-039</x:v>
      </x:c>
      <x:c r="E43" s="20" t="str">
        <x:v>WEEK8_FROZEN</x:v>
      </x:c>
      <x:c r="F43" s="20" t="str">
        <x:v>ENT-006</x:v>
      </x:c>
      <x:c r="G43" s="20" t="str">
        <x:v>东方富海（上海）创业投资企业（有限合伙）</x:v>
      </x:c>
      <x:c r="H43" s="20" t="str">
        <x:v>PEVC_CONFIRMED</x:v>
      </x:c>
      <x:c r="I43" s="20" t="str">
        <x:v>CAPITAL_INCREASE</x:v>
      </x:c>
      <x:c r="J43" s="20" t="str">
        <x:v>DIRECT</x:v>
      </x:c>
      <x:c r="K43" s="20" t="str">
        <x:v>ISSUER_LEVEL</x:v>
      </x:c>
      <x:c r="L43" s="20" t="str">
        <x:v>CE-005</x:v>
      </x:c>
      <x:c r="M43" s="20"/>
      <x:c r="N43" s="20" t="str">
        <x:v>2015-01</x:v>
      </x:c>
      <x:c r="O43" s="20" t="str">
        <x:v>EXPLICIT_DISCLOSED_RATIO</x:v>
      </x:c>
      <x:c r="P43" s="26" t="n">
        <x:v>0.0675</x:v>
      </x:c>
      <x:c r="Q43" s="20" t="str">
        <x:v>M-301563-CE005-DFH</x:v>
      </x:c>
      <x:c r="R43" s="20" t="str">
        <x:v>EXPLICIT_DISCLOSED_RATIO</x:v>
      </x:c>
      <x:c r="S43" s="20" t="n">
        <x:v>92466</x:v>
      </x:c>
      <x:c r="T43" s="20" t="n">
        <x:v>1369864</x:v>
      </x:c>
      <x:c r="U43" s="20" t="str">
        <x:v>注册资本（元）</x:v>
      </x:c>
      <x:c r="V43" s="20" t="str">
        <x:v>S6-YH-2014-LY-ANN</x:v>
      </x:c>
      <x:c r="W43" s="20" t="str">
        <x:v>PDF第5页</x:v>
      </x:c>
      <x:c r="X43" s="20" t="str">
        <x:v>ORIGINAL_LISTED_COMPANY_DISCLOSURE</x:v>
      </x:c>
      <x:c r="Y43" s="20" t="n">
        <x:v>1</x:v>
      </x:c>
      <x:c r="Z43" s="20" t="str">
        <x:v>第二次增资后股权结构表直接披露6.75%。</x:v>
      </x:c>
      <x:c r="AA43" s="20" t="str">
        <x:v>可进入唯一测量层；不回写冻结文件</x:v>
      </x:c>
    </x:row>
    <x:row r="44" ht="54" customHeight="1">
      <x:c r="A44" s="44" t="str">
        <x:v>301563</x:v>
      </x:c>
      <x:c r="B44" s="20" t="str">
        <x:v>云汉芯城</x:v>
      </x:c>
      <x:c r="C44" s="20" t="str">
        <x:v>EDGE-040</x:v>
      </x:c>
      <x:c r="D44" s="20" t="str">
        <x:v>PATH-040</x:v>
      </x:c>
      <x:c r="E44" s="20" t="str">
        <x:v>WEEK8_FROZEN</x:v>
      </x:c>
      <x:c r="F44" s="20" t="str">
        <x:v>ENT-007</x:v>
      </x:c>
      <x:c r="G44" s="20" t="str">
        <x:v>芜湖富海浩研创业投资基金（有限合伙）</x:v>
      </x:c>
      <x:c r="H44" s="20" t="str">
        <x:v>PEVC_CONFIRMED</x:v>
      </x:c>
      <x:c r="I44" s="20" t="str">
        <x:v>CAPITAL_INCREASE</x:v>
      </x:c>
      <x:c r="J44" s="20" t="str">
        <x:v>DIRECT</x:v>
      </x:c>
      <x:c r="K44" s="20" t="str">
        <x:v>ISSUER_LEVEL</x:v>
      </x:c>
      <x:c r="L44" s="20" t="str">
        <x:v>CE-005</x:v>
      </x:c>
      <x:c r="M44" s="20"/>
      <x:c r="N44" s="20" t="str">
        <x:v>2015-01</x:v>
      </x:c>
      <x:c r="O44" s="20" t="str">
        <x:v>EXPLICIT_DISCLOSED_RATIO</x:v>
      </x:c>
      <x:c r="P44" s="26" t="n">
        <x:v>0.0675</x:v>
      </x:c>
      <x:c r="Q44" s="20" t="str">
        <x:v>M-301563-CE005-WHFH</x:v>
      </x:c>
      <x:c r="R44" s="20" t="str">
        <x:v>EXPLICIT_DISCLOSED_RATIO</x:v>
      </x:c>
      <x:c r="S44" s="20" t="n">
        <x:v>92466</x:v>
      </x:c>
      <x:c r="T44" s="20" t="n">
        <x:v>1369864</x:v>
      </x:c>
      <x:c r="U44" s="20" t="str">
        <x:v>注册资本（元）</x:v>
      </x:c>
      <x:c r="V44" s="20" t="str">
        <x:v>S6-YH-2014-LY-ANN</x:v>
      </x:c>
      <x:c r="W44" s="20" t="str">
        <x:v>PDF第5页</x:v>
      </x:c>
      <x:c r="X44" s="20" t="str">
        <x:v>ORIGINAL_LISTED_COMPANY_DISCLOSURE</x:v>
      </x:c>
      <x:c r="Y44" s="20" t="n">
        <x:v>1</x:v>
      </x:c>
      <x:c r="Z44" s="20" t="str">
        <x:v>第二次增资后股权结构表直接披露6.75%。</x:v>
      </x:c>
      <x:c r="AA44" s="20" t="str">
        <x:v>可进入唯一测量层；不回写冻结文件</x:v>
      </x:c>
    </x:row>
    <x:row r="45" ht="54" customHeight="1">
      <x:c r="A45" s="44" t="str">
        <x:v>301563</x:v>
      </x:c>
      <x:c r="B45" s="20" t="str">
        <x:v>云汉芯城</x:v>
      </x:c>
      <x:c r="C45" s="20" t="str">
        <x:v>EDGE-041</x:v>
      </x:c>
      <x:c r="D45" s="20" t="str">
        <x:v>PATH-041</x:v>
      </x:c>
      <x:c r="E45" s="20" t="str">
        <x:v>WEEK8_FROZEN</x:v>
      </x:c>
      <x:c r="F45" s="20" t="str">
        <x:v>ENT-008</x:v>
      </x:c>
      <x:c r="G45" s="20" t="str">
        <x:v>深圳市创新投资集团有限公司</x:v>
      </x:c>
      <x:c r="H45" s="20" t="str">
        <x:v>PEVC_CANDIDATE</x:v>
      </x:c>
      <x:c r="I45" s="20" t="str">
        <x:v>CAPITAL_INCREASE</x:v>
      </x:c>
      <x:c r="J45" s="20" t="str">
        <x:v>DIRECT</x:v>
      </x:c>
      <x:c r="K45" s="20" t="str">
        <x:v>ISSUER_LEVEL</x:v>
      </x:c>
      <x:c r="L45" s="20" t="str">
        <x:v>CE-007</x:v>
      </x:c>
      <x:c r="M45" s="20"/>
      <x:c r="N45" s="20" t="str">
        <x:v>2015-08</x:v>
      </x:c>
      <x:c r="O45" s="20" t="str">
        <x:v>NOT_COMPUTABLE_RETAINED_EVIDENCE</x:v>
      </x:c>
      <x:c r="P45" s="26"/>
      <x:c r="Q45" s="20"/>
      <x:c r="R45" s="20"/>
      <x:c r="S45" s="20"/>
      <x:c r="T45" s="20"/>
      <x:c r="U45" s="20" t="str">
        <x:v>不适用</x:v>
      </x:c>
      <x:c r="V45" s="20" t="str">
        <x:v>EVD-003</x:v>
      </x:c>
      <x:c r="W45" s="20" t="str">
        <x:v>57</x:v>
      </x:c>
      <x:c r="X45" s="20" t="str">
        <x:v>ORIGINAL_EXCERPT_RETAINED</x:v>
      </x:c>
      <x:c r="Y45" s="20" t="n">
        <x:v>0</x:v>
      </x:c>
      <x:c r="Z45" s="20"/>
      <x:c r="AA45" s="20" t="str">
        <x:v>原文仍不足以在同一交易时点闭合比例；保留null。</x:v>
      </x:c>
    </x:row>
    <x:row r="46" ht="54" customHeight="1">
      <x:c r="A46" s="44" t="str">
        <x:v>301563</x:v>
      </x:c>
      <x:c r="B46" s="20" t="str">
        <x:v>云汉芯城</x:v>
      </x:c>
      <x:c r="C46" s="20" t="str">
        <x:v>EDGE-042</x:v>
      </x:c>
      <x:c r="D46" s="20" t="str">
        <x:v>PATH-042</x:v>
      </x:c>
      <x:c r="E46" s="20" t="str">
        <x:v>WEEK8_FROZEN</x:v>
      </x:c>
      <x:c r="F46" s="20" t="str">
        <x:v>ENT-009</x:v>
      </x:c>
      <x:c r="G46" s="20" t="str">
        <x:v>丰利财富（北京）国际资本管理股份有限公司</x:v>
      </x:c>
      <x:c r="H46" s="20" t="str">
        <x:v>PEVC_RELATED</x:v>
      </x:c>
      <x:c r="I46" s="20" t="str">
        <x:v>CAPITAL_INCREASE</x:v>
      </x:c>
      <x:c r="J46" s="20" t="str">
        <x:v>DIRECT</x:v>
      </x:c>
      <x:c r="K46" s="20" t="str">
        <x:v>ISSUER_LEVEL</x:v>
      </x:c>
      <x:c r="L46" s="20" t="str">
        <x:v>CE-007</x:v>
      </x:c>
      <x:c r="M46" s="20"/>
      <x:c r="N46" s="20" t="str">
        <x:v>2015-08</x:v>
      </x:c>
      <x:c r="O46" s="20" t="str">
        <x:v>EXPLICIT_DISCLOSED_RATIO</x:v>
      </x:c>
      <x:c r="P46" s="26" t="n">
        <x:v>0.016667</x:v>
      </x:c>
      <x:c r="Q46" s="20" t="str">
        <x:v>M-301563-CE007-FENGLI</x:v>
      </x:c>
      <x:c r="R46" s="20" t="str">
        <x:v>EXPLICIT_DISCLOSED_RATIO</x:v>
      </x:c>
      <x:c r="S46" s="20" t="n">
        <x:v>359712</x:v>
      </x:c>
      <x:c r="T46" s="20" t="n">
        <x:v>21582733</x:v>
      </x:c>
      <x:c r="U46" s="20" t="str">
        <x:v>注册资本（元）</x:v>
      </x:c>
      <x:c r="V46" s="20" t="str">
        <x:v>S6-YH-2015-FL-LEGAL</x:v>
      </x:c>
      <x:c r="W46" s="20" t="str">
        <x:v>PDF第186页</x:v>
      </x:c>
      <x:c r="X46" s="20" t="str">
        <x:v>ORIGINAL_LEGAL_OPINION</x:v>
      </x:c>
      <x:c r="Y46" s="20" t="n">
        <x:v>0</x:v>
      </x:c>
      <x:c r="Z46" s="20" t="str">
        <x:v>同一投资者—事件的CAPITAL_INCREASE重复语义边。</x:v>
      </x:c>
      <x:c r="AA46" s="20" t="str">
        <x:v>重复语义边；展示比例但统计必须去重</x:v>
      </x:c>
    </x:row>
    <x:row r="47" ht="54" customHeight="1">
      <x:c r="A47" s="44" t="str">
        <x:v>301563</x:v>
      </x:c>
      <x:c r="B47" s="20" t="str">
        <x:v>云汉芯城</x:v>
      </x:c>
      <x:c r="C47" s="20" t="str">
        <x:v>EDGE-043</x:v>
      </x:c>
      <x:c r="D47" s="20" t="str">
        <x:v>PATH-043</x:v>
      </x:c>
      <x:c r="E47" s="20" t="str">
        <x:v>WEEK8_FROZEN</x:v>
      </x:c>
      <x:c r="F47" s="20" t="str">
        <x:v>ENT-010</x:v>
      </x:c>
      <x:c r="G47" s="20" t="str">
        <x:v>镇江红土创业投资有限公司</x:v>
      </x:c>
      <x:c r="H47" s="20" t="str">
        <x:v>PEVC_CANDIDATE</x:v>
      </x:c>
      <x:c r="I47" s="20" t="str">
        <x:v>CAPITAL_INCREASE</x:v>
      </x:c>
      <x:c r="J47" s="20" t="str">
        <x:v>DIRECT</x:v>
      </x:c>
      <x:c r="K47" s="20" t="str">
        <x:v>ISSUER_LEVEL</x:v>
      </x:c>
      <x:c r="L47" s="20" t="str">
        <x:v>CE-007</x:v>
      </x:c>
      <x:c r="M47" s="20"/>
      <x:c r="N47" s="20" t="str">
        <x:v>2015-08</x:v>
      </x:c>
      <x:c r="O47" s="20" t="str">
        <x:v>NOT_COMPUTABLE_RETAINED_EVIDENCE</x:v>
      </x:c>
      <x:c r="P47" s="26"/>
      <x:c r="Q47" s="20"/>
      <x:c r="R47" s="20"/>
      <x:c r="S47" s="20"/>
      <x:c r="T47" s="20"/>
      <x:c r="U47" s="20" t="str">
        <x:v>不适用</x:v>
      </x:c>
      <x:c r="V47" s="20" t="str">
        <x:v>EVD-003</x:v>
      </x:c>
      <x:c r="W47" s="20" t="str">
        <x:v>57</x:v>
      </x:c>
      <x:c r="X47" s="20" t="str">
        <x:v>ORIGINAL_EXCERPT_RETAINED</x:v>
      </x:c>
      <x:c r="Y47" s="20" t="n">
        <x:v>0</x:v>
      </x:c>
      <x:c r="Z47" s="20"/>
      <x:c r="AA47" s="20" t="str">
        <x:v>原文仍不足以在同一交易时点闭合比例；保留null。</x:v>
      </x:c>
    </x:row>
    <x:row r="48" ht="54" customHeight="1">
      <x:c r="A48" s="44" t="str">
        <x:v>301563</x:v>
      </x:c>
      <x:c r="B48" s="20" t="str">
        <x:v>云汉芯城</x:v>
      </x:c>
      <x:c r="C48" s="20" t="str">
        <x:v>EDGE-044</x:v>
      </x:c>
      <x:c r="D48" s="20" t="str">
        <x:v>PATH-044</x:v>
      </x:c>
      <x:c r="E48" s="20" t="str">
        <x:v>WEEK8_FROZEN</x:v>
      </x:c>
      <x:c r="F48" s="20" t="str">
        <x:v>ENT-011</x:v>
      </x:c>
      <x:c r="G48" s="20" t="str">
        <x:v>昆山红土高新创业投资有限公司</x:v>
      </x:c>
      <x:c r="H48" s="20" t="str">
        <x:v>PEVC_CANDIDATE</x:v>
      </x:c>
      <x:c r="I48" s="20" t="str">
        <x:v>CAPITAL_INCREASE</x:v>
      </x:c>
      <x:c r="J48" s="20" t="str">
        <x:v>DIRECT</x:v>
      </x:c>
      <x:c r="K48" s="20" t="str">
        <x:v>ISSUER_LEVEL</x:v>
      </x:c>
      <x:c r="L48" s="20" t="str">
        <x:v>CE-007</x:v>
      </x:c>
      <x:c r="M48" s="20"/>
      <x:c r="N48" s="20" t="str">
        <x:v>2015-08</x:v>
      </x:c>
      <x:c r="O48" s="20" t="str">
        <x:v>NOT_COMPUTABLE_RETAINED_EVIDENCE</x:v>
      </x:c>
      <x:c r="P48" s="26"/>
      <x:c r="Q48" s="20"/>
      <x:c r="R48" s="20"/>
      <x:c r="S48" s="20"/>
      <x:c r="T48" s="20"/>
      <x:c r="U48" s="20" t="str">
        <x:v>不适用</x:v>
      </x:c>
      <x:c r="V48" s="20" t="str">
        <x:v>EVD-003</x:v>
      </x:c>
      <x:c r="W48" s="20" t="str">
        <x:v>57</x:v>
      </x:c>
      <x:c r="X48" s="20" t="str">
        <x:v>ORIGINAL_EXCERPT_RETAINED</x:v>
      </x:c>
      <x:c r="Y48" s="20" t="n">
        <x:v>0</x:v>
      </x:c>
      <x:c r="Z48" s="20"/>
      <x:c r="AA48" s="20" t="str">
        <x:v>原文仍不足以在同一交易时点闭合比例；保留null。</x:v>
      </x:c>
    </x:row>
    <x:row r="49" ht="54" customHeight="1">
      <x:c r="A49" s="44" t="str">
        <x:v>301563</x:v>
      </x:c>
      <x:c r="B49" s="20" t="str">
        <x:v>云汉芯城</x:v>
      </x:c>
      <x:c r="C49" s="20" t="str">
        <x:v>EDGE-045</x:v>
      </x:c>
      <x:c r="D49" s="20" t="str">
        <x:v>PATH-045</x:v>
      </x:c>
      <x:c r="E49" s="20" t="str">
        <x:v>WEEK8_FROZEN</x:v>
      </x:c>
      <x:c r="F49" s="20" t="str">
        <x:v>ENT-012</x:v>
      </x:c>
      <x:c r="G49" s="20" t="str">
        <x:v>富海深湾（深圳）移动创新私募创业投资基金合伙企业（有限合伙）</x:v>
      </x:c>
      <x:c r="H49" s="20" t="str">
        <x:v>PEVC_CONFIRMED</x:v>
      </x:c>
      <x:c r="I49" s="20" t="str">
        <x:v>CAPITAL_INCREASE</x:v>
      </x:c>
      <x:c r="J49" s="20" t="str">
        <x:v>DIRECT</x:v>
      </x:c>
      <x:c r="K49" s="20" t="str">
        <x:v>ISSUER_LEVEL</x:v>
      </x:c>
      <x:c r="L49" s="20" t="str">
        <x:v>CE-007</x:v>
      </x:c>
      <x:c r="M49" s="20"/>
      <x:c r="N49" s="20" t="str">
        <x:v>2015-08</x:v>
      </x:c>
      <x:c r="O49" s="20" t="str">
        <x:v>NOT_COMPUTABLE_RETAINED_EVIDENCE</x:v>
      </x:c>
      <x:c r="P49" s="26"/>
      <x:c r="Q49" s="20"/>
      <x:c r="R49" s="20"/>
      <x:c r="S49" s="20"/>
      <x:c r="T49" s="20"/>
      <x:c r="U49" s="20" t="str">
        <x:v>不适用</x:v>
      </x:c>
      <x:c r="V49" s="20" t="str">
        <x:v>EVD-003</x:v>
      </x:c>
      <x:c r="W49" s="20" t="str">
        <x:v>57</x:v>
      </x:c>
      <x:c r="X49" s="20" t="str">
        <x:v>ORIGINAL_EXCERPT_RETAINED</x:v>
      </x:c>
      <x:c r="Y49" s="20" t="n">
        <x:v>0</x:v>
      </x:c>
      <x:c r="Z49" s="20"/>
      <x:c r="AA49" s="20" t="str">
        <x:v>原文仍不足以在同一交易时点闭合比例；保留null。</x:v>
      </x:c>
    </x:row>
    <x:row r="50" ht="54" customHeight="1">
      <x:c r="A50" s="44" t="str">
        <x:v>301563</x:v>
      </x:c>
      <x:c r="B50" s="20" t="str">
        <x:v>云汉芯城</x:v>
      </x:c>
      <x:c r="C50" s="20" t="str">
        <x:v>EDGE-046</x:v>
      </x:c>
      <x:c r="D50" s="20" t="str">
        <x:v>PATH-046</x:v>
      </x:c>
      <x:c r="E50" s="20" t="str">
        <x:v>WEEK8_FROZEN</x:v>
      </x:c>
      <x:c r="F50" s="20" t="str">
        <x:v>ENT-007</x:v>
      </x:c>
      <x:c r="G50" s="20" t="str">
        <x:v>芜湖富海浩研创业投资基金（有限合伙）</x:v>
      </x:c>
      <x:c r="H50" s="20" t="str">
        <x:v>PEVC_CONFIRMED</x:v>
      </x:c>
      <x:c r="I50" s="20" t="str">
        <x:v>CAPITAL_INCREASE</x:v>
      </x:c>
      <x:c r="J50" s="20" t="str">
        <x:v>DIRECT</x:v>
      </x:c>
      <x:c r="K50" s="20" t="str">
        <x:v>ISSUER_LEVEL</x:v>
      </x:c>
      <x:c r="L50" s="20" t="str">
        <x:v>CE-007</x:v>
      </x:c>
      <x:c r="M50" s="20"/>
      <x:c r="N50" s="20" t="str">
        <x:v>2015-08</x:v>
      </x:c>
      <x:c r="O50" s="20" t="str">
        <x:v>NOT_COMPUTABLE_RETAINED_EVIDENCE</x:v>
      </x:c>
      <x:c r="P50" s="26"/>
      <x:c r="Q50" s="20"/>
      <x:c r="R50" s="20"/>
      <x:c r="S50" s="20"/>
      <x:c r="T50" s="20"/>
      <x:c r="U50" s="20" t="str">
        <x:v>不适用</x:v>
      </x:c>
      <x:c r="V50" s="20" t="str">
        <x:v>EVD-003</x:v>
      </x:c>
      <x:c r="W50" s="20" t="str">
        <x:v>57</x:v>
      </x:c>
      <x:c r="X50" s="20" t="str">
        <x:v>ORIGINAL_EXCERPT_RETAINED</x:v>
      </x:c>
      <x:c r="Y50" s="20" t="n">
        <x:v>0</x:v>
      </x:c>
      <x:c r="Z50" s="20"/>
      <x:c r="AA50" s="20" t="str">
        <x:v>原文仍不足以在同一交易时点闭合比例；保留null。</x:v>
      </x:c>
    </x:row>
    <x:row r="51" ht="54" customHeight="1">
      <x:c r="A51" s="44" t="str">
        <x:v>301563</x:v>
      </x:c>
      <x:c r="B51" s="20" t="str">
        <x:v>云汉芯城</x:v>
      </x:c>
      <x:c r="C51" s="20" t="str">
        <x:v>EDGE-047</x:v>
      </x:c>
      <x:c r="D51" s="20" t="str">
        <x:v>PATH-047</x:v>
      </x:c>
      <x:c r="E51" s="20" t="str">
        <x:v>WEEK8_FROZEN</x:v>
      </x:c>
      <x:c r="F51" s="20" t="str">
        <x:v>ENT-014</x:v>
      </x:c>
      <x:c r="G51" s="20" t="str">
        <x:v>北京国科瑞华战略性新兴产业投资基金（有限合伙）</x:v>
      </x:c>
      <x:c r="H51" s="20" t="str">
        <x:v>PEVC_CONFIRMED</x:v>
      </x:c>
      <x:c r="I51" s="20" t="str">
        <x:v>CAPITAL_INCREASE</x:v>
      </x:c>
      <x:c r="J51" s="20" t="str">
        <x:v>DIRECT</x:v>
      </x:c>
      <x:c r="K51" s="20" t="str">
        <x:v>ISSUER_LEVEL</x:v>
      </x:c>
      <x:c r="L51" s="20" t="str">
        <x:v>CE-010-01</x:v>
      </x:c>
      <x:c r="M51" s="20"/>
      <x:c r="N51" s="20"/>
      <x:c r="O51" s="20" t="str">
        <x:v>EXPLICIT_DISCLOSED_RATIO</x:v>
      </x:c>
      <x:c r="P51" s="26" t="n">
        <x:v>0.0549</x:v>
      </x:c>
      <x:c r="Q51" s="20" t="str">
        <x:v>M-301563-CE010-GKRH</x:v>
      </x:c>
      <x:c r="R51" s="20" t="str">
        <x:v>EXPLICIT_DISCLOSED_RATIO</x:v>
      </x:c>
      <x:c r="S51" s="20" t="n">
        <x:v>2544787</x:v>
      </x:c>
      <x:c r="T51" s="20" t="n">
        <x:v>46350000</x:v>
      </x:c>
      <x:c r="U51" s="20" t="str">
        <x:v>原披露数量单位</x:v>
      </x:c>
      <x:c r="V51" s="20" t="str">
        <x:v>S5-YH-P59-60</x:v>
      </x:c>
      <x:c r="W51" s="20" t="str">
        <x:v>59-60</x:v>
      </x:c>
      <x:c r="X51" s="20" t="str">
        <x:v>ORIGINAL_PROSPECTUS_VERIFIED</x:v>
      </x:c>
      <x:c r="Y51" s="20" t="n">
        <x:v>0</x:v>
      </x:c>
      <x:c r="Z51" s="20" t="str">
        <x:v>同一投资者—事件的CAPITAL_INCREASE重复语义边。</x:v>
      </x:c>
      <x:c r="AA51" s="20" t="str">
        <x:v>重复语义边；展示比例但统计必须去重</x:v>
      </x:c>
    </x:row>
    <x:row r="52" ht="54" customHeight="1">
      <x:c r="A52" s="44" t="str">
        <x:v>301563</x:v>
      </x:c>
      <x:c r="B52" s="20" t="str">
        <x:v>云汉芯城</x:v>
      </x:c>
      <x:c r="C52" s="20" t="str">
        <x:v>EDGE-048</x:v>
      </x:c>
      <x:c r="D52" s="20" t="str">
        <x:v>PATH-048</x:v>
      </x:c>
      <x:c r="E52" s="20" t="str">
        <x:v>WEEK8_FROZEN</x:v>
      </x:c>
      <x:c r="F52" s="20" t="str">
        <x:v>ENT-015</x:v>
      </x:c>
      <x:c r="G52" s="20" t="str">
        <x:v>CASREV FUND II-USD L.P.</x:v>
      </x:c>
      <x:c r="H52" s="20" t="str">
        <x:v>PEVC_CANDIDATE</x:v>
      </x:c>
      <x:c r="I52" s="20" t="str">
        <x:v>CAPITAL_INCREASE</x:v>
      </x:c>
      <x:c r="J52" s="20" t="str">
        <x:v>DIRECT</x:v>
      </x:c>
      <x:c r="K52" s="20" t="str">
        <x:v>ISSUER_LEVEL</x:v>
      </x:c>
      <x:c r="L52" s="20" t="str">
        <x:v>CE-010-01</x:v>
      </x:c>
      <x:c r="M52" s="20"/>
      <x:c r="N52" s="20"/>
      <x:c r="O52" s="20" t="str">
        <x:v>EXPLICIT_DISCLOSED_RATIO</x:v>
      </x:c>
      <x:c r="P52" s="26" t="n">
        <x:v>0.0133</x:v>
      </x:c>
      <x:c r="Q52" s="20" t="str">
        <x:v>M-301563-CE010-CASREV</x:v>
      </x:c>
      <x:c r="R52" s="20" t="str">
        <x:v>EXPLICIT_DISCLOSED_RATIO</x:v>
      </x:c>
      <x:c r="S52" s="20" t="n">
        <x:v>618000</x:v>
      </x:c>
      <x:c r="T52" s="20" t="n">
        <x:v>46350000</x:v>
      </x:c>
      <x:c r="U52" s="20" t="str">
        <x:v>原披露数量单位</x:v>
      </x:c>
      <x:c r="V52" s="20" t="str">
        <x:v>S5-YH-P59-60</x:v>
      </x:c>
      <x:c r="W52" s="20" t="str">
        <x:v>59-60</x:v>
      </x:c>
      <x:c r="X52" s="20" t="str">
        <x:v>ORIGINAL_PROSPECTUS_VERIFIED</x:v>
      </x:c>
      <x:c r="Y52" s="20" t="n">
        <x:v>0</x:v>
      </x:c>
      <x:c r="Z52" s="20" t="str">
        <x:v>同一投资者—事件的CAPITAL_INCREASE重复语义边。</x:v>
      </x:c>
      <x:c r="AA52" s="20" t="str">
        <x:v>重复语义边；展示比例但统计必须去重</x:v>
      </x:c>
    </x:row>
    <x:row r="53" ht="54" customHeight="1">
      <x:c r="A53" s="44" t="str">
        <x:v>301563</x:v>
      </x:c>
      <x:c r="B53" s="20" t="str">
        <x:v>云汉芯城</x:v>
      </x:c>
      <x:c r="C53" s="20" t="str">
        <x:v>EDGE-049</x:v>
      </x:c>
      <x:c r="D53" s="20" t="str">
        <x:v>PATH-049</x:v>
      </x:c>
      <x:c r="E53" s="20" t="str">
        <x:v>WEEK8_FROZEN</x:v>
      </x:c>
      <x:c r="F53" s="20" t="str">
        <x:v>ENT-016</x:v>
      </x:c>
      <x:c r="G53" s="20" t="str">
        <x:v>中科贵银（贵州）产业投资基金（有限合伙）</x:v>
      </x:c>
      <x:c r="H53" s="20" t="str">
        <x:v>PEVC_CONFIRMED</x:v>
      </x:c>
      <x:c r="I53" s="20" t="str">
        <x:v>CAPITAL_INCREASE</x:v>
      </x:c>
      <x:c r="J53" s="20" t="str">
        <x:v>DIRECT</x:v>
      </x:c>
      <x:c r="K53" s="20" t="str">
        <x:v>ISSUER_LEVEL</x:v>
      </x:c>
      <x:c r="L53" s="20" t="str">
        <x:v>CE-010-01</x:v>
      </x:c>
      <x:c r="M53" s="20"/>
      <x:c r="N53" s="20"/>
      <x:c r="O53" s="20" t="str">
        <x:v>EXPLICIT_DISCLOSED_RATIO</x:v>
      </x:c>
      <x:c r="P53" s="26" t="n">
        <x:v>0.0117</x:v>
      </x:c>
      <x:c r="Q53" s="20" t="str">
        <x:v>M-301563-CE010-ZKGY</x:v>
      </x:c>
      <x:c r="R53" s="20" t="str">
        <x:v>EXPLICIT_DISCLOSED_RATIO</x:v>
      </x:c>
      <x:c r="S53" s="20" t="n">
        <x:v>543840</x:v>
      </x:c>
      <x:c r="T53" s="20" t="n">
        <x:v>46350000</x:v>
      </x:c>
      <x:c r="U53" s="20" t="str">
        <x:v>原披露数量单位</x:v>
      </x:c>
      <x:c r="V53" s="20" t="str">
        <x:v>S5-YH-P59-60</x:v>
      </x:c>
      <x:c r="W53" s="20" t="str">
        <x:v>59-60</x:v>
      </x:c>
      <x:c r="X53" s="20" t="str">
        <x:v>ORIGINAL_PROSPECTUS_VERIFIED</x:v>
      </x:c>
      <x:c r="Y53" s="20" t="n">
        <x:v>0</x:v>
      </x:c>
      <x:c r="Z53" s="20" t="str">
        <x:v>同一投资者—事件的CAPITAL_INCREASE重复语义边。</x:v>
      </x:c>
      <x:c r="AA53" s="20" t="str">
        <x:v>重复语义边；展示比例但统计必须去重</x:v>
      </x:c>
    </x:row>
    <x:row r="54" ht="54" customHeight="1">
      <x:c r="A54" s="44" t="str">
        <x:v>301563</x:v>
      </x:c>
      <x:c r="B54" s="20" t="str">
        <x:v>云汉芯城</x:v>
      </x:c>
      <x:c r="C54" s="20" t="str">
        <x:v>EDGE-050</x:v>
      </x:c>
      <x:c r="D54" s="20" t="str">
        <x:v>PATH-050</x:v>
      </x:c>
      <x:c r="E54" s="20" t="str">
        <x:v>WEEK8_FROZEN</x:v>
      </x:c>
      <x:c r="F54" s="20" t="str">
        <x:v>ENT-017</x:v>
      </x:c>
      <x:c r="G54" s="20" t="str">
        <x:v>夏东</x:v>
      </x:c>
      <x:c r="H54" s="20" t="str">
        <x:v>PEVC_EXCLUDED</x:v>
      </x:c>
      <x:c r="I54" s="20" t="str">
        <x:v>CAPITAL_INCREASE</x:v>
      </x:c>
      <x:c r="J54" s="20" t="str">
        <x:v>DIRECT</x:v>
      </x:c>
      <x:c r="K54" s="20" t="str">
        <x:v>ISSUER_LEVEL</x:v>
      </x:c>
      <x:c r="L54" s="20" t="str">
        <x:v>CE-010-01</x:v>
      </x:c>
      <x:c r="M54" s="20"/>
      <x:c r="N54" s="20"/>
      <x:c r="O54" s="20" t="str">
        <x:v>EXPLICIT_DISCLOSED_RATIO</x:v>
      </x:c>
      <x:c r="P54" s="26" t="n">
        <x:v>0.0015</x:v>
      </x:c>
      <x:c r="Q54" s="20" t="str">
        <x:v>M-301563-CE010-XIADONG</x:v>
      </x:c>
      <x:c r="R54" s="20" t="str">
        <x:v>EXPLICIT_DISCLOSED_RATIO</x:v>
      </x:c>
      <x:c r="S54" s="20" t="n">
        <x:v>70040</x:v>
      </x:c>
      <x:c r="T54" s="20" t="n">
        <x:v>46350000</x:v>
      </x:c>
      <x:c r="U54" s="20" t="str">
        <x:v>原披露数量单位</x:v>
      </x:c>
      <x:c r="V54" s="20" t="str">
        <x:v>S5-YH-P59-60</x:v>
      </x:c>
      <x:c r="W54" s="20" t="str">
        <x:v>59-60</x:v>
      </x:c>
      <x:c r="X54" s="20" t="str">
        <x:v>ORIGINAL_PROSPECTUS_VERIFIED</x:v>
      </x:c>
      <x:c r="Y54" s="20" t="n">
        <x:v>1</x:v>
      </x:c>
      <x:c r="Z54" s="20" t="str">
        <x:v>交易后股东表直接披露0.15%。</x:v>
      </x:c>
      <x:c r="AA54" s="20" t="str">
        <x:v>可进入唯一测量层；不回写冻结文件</x:v>
      </x:c>
    </x:row>
    <x:row r="55" ht="54" customHeight="1">
      <x:c r="A55" s="44" t="str">
        <x:v>301563</x:v>
      </x:c>
      <x:c r="B55" s="20" t="str">
        <x:v>云汉芯城</x:v>
      </x:c>
      <x:c r="C55" s="20" t="str">
        <x:v>EDGE-051</x:v>
      </x:c>
      <x:c r="D55" s="20" t="str">
        <x:v>PATH-051</x:v>
      </x:c>
      <x:c r="E55" s="20" t="str">
        <x:v>WEEK8_FROZEN</x:v>
      </x:c>
      <x:c r="F55" s="20" t="str">
        <x:v>ENT-018</x:v>
      </x:c>
      <x:c r="G55" s="20" t="str">
        <x:v>深圳南山东方富海中小微创业投资基金合伙企业（有限合伙）</x:v>
      </x:c>
      <x:c r="H55" s="20" t="str">
        <x:v>PEVC_CONFIRMED</x:v>
      </x:c>
      <x:c r="I55" s="20" t="str">
        <x:v>CAPITAL_INCREASE</x:v>
      </x:c>
      <x:c r="J55" s="20" t="str">
        <x:v>DIRECT</x:v>
      </x:c>
      <x:c r="K55" s="20" t="str">
        <x:v>ISSUER_LEVEL</x:v>
      </x:c>
      <x:c r="L55" s="20" t="str">
        <x:v>CE-010-01</x:v>
      </x:c>
      <x:c r="M55" s="20"/>
      <x:c r="N55" s="20"/>
      <x:c r="O55" s="20" t="str">
        <x:v>EXPLICIT_DISCLOSED_RATIO</x:v>
      </x:c>
      <x:c r="P55" s="26" t="n">
        <x:v>0.0222</x:v>
      </x:c>
      <x:c r="Q55" s="20" t="str">
        <x:v>M-301563-CE010-NSFH</x:v>
      </x:c>
      <x:c r="R55" s="20" t="str">
        <x:v>EXPLICIT_DISCLOSED_RATIO</x:v>
      </x:c>
      <x:c r="S55" s="20" t="n">
        <x:v>1030000</x:v>
      </x:c>
      <x:c r="T55" s="20" t="n">
        <x:v>46350000</x:v>
      </x:c>
      <x:c r="U55" s="20" t="str">
        <x:v>原披露数量单位</x:v>
      </x:c>
      <x:c r="V55" s="20" t="str">
        <x:v>S5-YH-P59-60</x:v>
      </x:c>
      <x:c r="W55" s="20" t="str">
        <x:v>59-60</x:v>
      </x:c>
      <x:c r="X55" s="20" t="str">
        <x:v>ORIGINAL_PROSPECTUS_VERIFIED</x:v>
      </x:c>
      <x:c r="Y55" s="20" t="n">
        <x:v>0</x:v>
      </x:c>
      <x:c r="Z55" s="20" t="str">
        <x:v>同一投资者—事件的CAPITAL_INCREASE重复语义边。</x:v>
      </x:c>
      <x:c r="AA55" s="20" t="str">
        <x:v>重复语义边；展示比例但统计必须去重</x:v>
      </x:c>
    </x:row>
    <x:row r="56" ht="54" customHeight="1">
      <x:c r="A56" s="44" t="str">
        <x:v>301563</x:v>
      </x:c>
      <x:c r="B56" s="20" t="str">
        <x:v>云汉芯城</x:v>
      </x:c>
      <x:c r="C56" s="20" t="str">
        <x:v>EDGE-052</x:v>
      </x:c>
      <x:c r="D56" s="20" t="str">
        <x:v>PATH-052</x:v>
      </x:c>
      <x:c r="E56" s="20" t="str">
        <x:v>WEEK8_FROZEN</x:v>
      </x:c>
      <x:c r="F56" s="20" t="str">
        <x:v>ENT-019</x:v>
      </x:c>
      <x:c r="G56" s="20" t="str">
        <x:v>珠海拓域壹号股权投资基金（有限合伙）</x:v>
      </x:c>
      <x:c r="H56" s="20" t="str">
        <x:v>PEVC_CONFIRMED</x:v>
      </x:c>
      <x:c r="I56" s="20" t="str">
        <x:v>CAPITAL_INCREASE</x:v>
      </x:c>
      <x:c r="J56" s="20" t="str">
        <x:v>DIRECT</x:v>
      </x:c>
      <x:c r="K56" s="20" t="str">
        <x:v>ISSUER_LEVEL</x:v>
      </x:c>
      <x:c r="L56" s="20" t="str">
        <x:v>CE-010-01</x:v>
      </x:c>
      <x:c r="M56" s="20"/>
      <x:c r="N56" s="20"/>
      <x:c r="O56" s="20" t="str">
        <x:v>EXPLICIT_DISCLOSED_RATIO</x:v>
      </x:c>
      <x:c r="P56" s="26" t="n">
        <x:v>0.0074</x:v>
      </x:c>
      <x:c r="Q56" s="20" t="str">
        <x:v>M-301563-CE010-ZHTY</x:v>
      </x:c>
      <x:c r="R56" s="20" t="str">
        <x:v>EXPLICIT_DISCLOSED_RATIO</x:v>
      </x:c>
      <x:c r="S56" s="20" t="n">
        <x:v>343333</x:v>
      </x:c>
      <x:c r="T56" s="20" t="n">
        <x:v>46350000</x:v>
      </x:c>
      <x:c r="U56" s="20" t="str">
        <x:v>原披露数量单位</x:v>
      </x:c>
      <x:c r="V56" s="20" t="str">
        <x:v>S5-YH-P59-60</x:v>
      </x:c>
      <x:c r="W56" s="20" t="str">
        <x:v>59-60</x:v>
      </x:c>
      <x:c r="X56" s="20" t="str">
        <x:v>ORIGINAL_PROSPECTUS_VERIFIED</x:v>
      </x:c>
      <x:c r="Y56" s="20" t="n">
        <x:v>0</x:v>
      </x:c>
      <x:c r="Z56" s="20" t="str">
        <x:v>同一投资者—事件的CAPITAL_INCREASE重复语义边。</x:v>
      </x:c>
      <x:c r="AA56" s="20" t="str">
        <x:v>重复语义边；展示比例但统计必须去重</x:v>
      </x:c>
    </x:row>
    <x:row r="57" ht="54" customHeight="1">
      <x:c r="A57" s="44" t="str">
        <x:v>301563</x:v>
      </x:c>
      <x:c r="B57" s="20" t="str">
        <x:v>云汉芯城</x:v>
      </x:c>
      <x:c r="C57" s="20" t="str">
        <x:v>EDGE-053</x:v>
      </x:c>
      <x:c r="D57" s="20" t="str">
        <x:v>PATH-053</x:v>
      </x:c>
      <x:c r="E57" s="20" t="str">
        <x:v>WEEK8_FROZEN</x:v>
      </x:c>
      <x:c r="F57" s="20" t="str">
        <x:v>ENT-027</x:v>
      </x:c>
      <x:c r="G57" s="20" t="str">
        <x:v>福建火炬电子科技股份有限公司</x:v>
      </x:c>
      <x:c r="H57" s="20" t="str">
        <x:v>PEVC_EXCLUDED</x:v>
      </x:c>
      <x:c r="I57" s="20" t="str">
        <x:v>CAPITAL_INCREASE</x:v>
      </x:c>
      <x:c r="J57" s="20" t="str">
        <x:v>DIRECT</x:v>
      </x:c>
      <x:c r="K57" s="20" t="str">
        <x:v>ISSUER_LEVEL</x:v>
      </x:c>
      <x:c r="L57" s="20" t="str">
        <x:v>CE-012</x:v>
      </x:c>
      <x:c r="M57" s="20"/>
      <x:c r="N57" s="20" t="str">
        <x:v>2020-05</x:v>
      </x:c>
      <x:c r="O57" s="20" t="str">
        <x:v>EXPLICIT_DISCLOSED_RATIO</x:v>
      </x:c>
      <x:c r="P57" s="26" t="n">
        <x:v>0.0238</x:v>
      </x:c>
      <x:c r="Q57" s="20" t="str">
        <x:v>M-301563-CE012-HJ</x:v>
      </x:c>
      <x:c r="R57" s="20" t="str">
        <x:v>EXPLICIT_DISCLOSED_RATIO</x:v>
      </x:c>
      <x:c r="S57" s="20" t="n">
        <x:v>1130488</x:v>
      </x:c>
      <x:c r="T57" s="20" t="n">
        <x:v>47480488</x:v>
      </x:c>
      <x:c r="U57" s="20" t="str">
        <x:v>原披露数量单位</x:v>
      </x:c>
      <x:c r="V57" s="20" t="str">
        <x:v>S5-YH-P61-62</x:v>
      </x:c>
      <x:c r="W57" s="20" t="str">
        <x:v>61-62</x:v>
      </x:c>
      <x:c r="X57" s="20" t="str">
        <x:v>ORIGINAL_PROSPECTUS_VERIFIED</x:v>
      </x:c>
      <x:c r="Y57" s="20" t="n">
        <x:v>0</x:v>
      </x:c>
      <x:c r="Z57" s="20" t="str">
        <x:v>同一投资者—事件的CAPITAL_INCREASE重复语义边。</x:v>
      </x:c>
      <x:c r="AA57" s="20" t="str">
        <x:v>重复语义边；展示比例但统计必须去重</x:v>
      </x:c>
    </x:row>
    <x:row r="58" ht="54" customHeight="1">
      <x:c r="A58" s="44" t="str">
        <x:v>301563</x:v>
      </x:c>
      <x:c r="B58" s="20" t="str">
        <x:v>云汉芯城</x:v>
      </x:c>
      <x:c r="C58" s="20" t="str">
        <x:v>EDGE-054</x:v>
      </x:c>
      <x:c r="D58" s="20" t="str">
        <x:v>PATH-054</x:v>
      </x:c>
      <x:c r="E58" s="20" t="str">
        <x:v>WEEK8_FROZEN</x:v>
      </x:c>
      <x:c r="F58" s="20" t="str">
        <x:v>ENT-028</x:v>
      </x:c>
      <x:c r="G58" s="20" t="str">
        <x:v>厦门西堤拾贰投资合伙企业（有限合伙）</x:v>
      </x:c>
      <x:c r="H58" s="20" t="str">
        <x:v>PEVC_CANDIDATE</x:v>
      </x:c>
      <x:c r="I58" s="20" t="str">
        <x:v>CAPITAL_INCREASE</x:v>
      </x:c>
      <x:c r="J58" s="20" t="str">
        <x:v>DIRECT</x:v>
      </x:c>
      <x:c r="K58" s="20" t="str">
        <x:v>ISSUER_LEVEL</x:v>
      </x:c>
      <x:c r="L58" s="20" t="str">
        <x:v>CE-013-01</x:v>
      </x:c>
      <x:c r="M58" s="20"/>
      <x:c r="N58" s="20" t="str">
        <x:v>2020-09</x:v>
      </x:c>
      <x:c r="O58" s="20" t="str">
        <x:v>EXPLICIT_DISCLOSED_RATIO</x:v>
      </x:c>
      <x:c r="P58" s="26" t="n">
        <x:v>0.0198</x:v>
      </x:c>
      <x:c r="Q58" s="20" t="str">
        <x:v>M-301563-CE013-XIDI</x:v>
      </x:c>
      <x:c r="R58" s="20" t="str">
        <x:v>EXPLICIT_DISCLOSED_RATIO</x:v>
      </x:c>
      <x:c r="S58" s="20" t="n">
        <x:v>968990</x:v>
      </x:c>
      <x:c r="T58" s="20" t="n">
        <x:v>48837074</x:v>
      </x:c>
      <x:c r="U58" s="20" t="str">
        <x:v>原披露数量单位</x:v>
      </x:c>
      <x:c r="V58" s="20" t="str">
        <x:v>S5-YH-P63-64</x:v>
      </x:c>
      <x:c r="W58" s="20" t="str">
        <x:v>63-64</x:v>
      </x:c>
      <x:c r="X58" s="20" t="str">
        <x:v>ORIGINAL_PROSPECTUS_VERIFIED</x:v>
      </x:c>
      <x:c r="Y58" s="20" t="n">
        <x:v>0</x:v>
      </x:c>
      <x:c r="Z58" s="20" t="str">
        <x:v>同一投资者—事件的CAPITAL_INCREASE重复语义边。</x:v>
      </x:c>
      <x:c r="AA58" s="20" t="str">
        <x:v>重复语义边；展示比例但统计必须去重</x:v>
      </x:c>
    </x:row>
    <x:row r="59" ht="54" customHeight="1">
      <x:c r="A59" s="44" t="str">
        <x:v>301563</x:v>
      </x:c>
      <x:c r="B59" s="20" t="str">
        <x:v>云汉芯城</x:v>
      </x:c>
      <x:c r="C59" s="20" t="str">
        <x:v>EDGE-055</x:v>
      </x:c>
      <x:c r="D59" s="20" t="str">
        <x:v>PATH-055</x:v>
      </x:c>
      <x:c r="E59" s="20" t="str">
        <x:v>WEEK8_FROZEN</x:v>
      </x:c>
      <x:c r="F59" s="20" t="str">
        <x:v>ENT-029</x:v>
      </x:c>
      <x:c r="G59" s="20" t="str">
        <x:v>中小企业发展基金（深圳南山有限合伙）</x:v>
      </x:c>
      <x:c r="H59" s="20" t="str">
        <x:v>PEVC_CONFIRMED</x:v>
      </x:c>
      <x:c r="I59" s="20" t="str">
        <x:v>CAPITAL_INCREASE</x:v>
      </x:c>
      <x:c r="J59" s="20" t="str">
        <x:v>DIRECT</x:v>
      </x:c>
      <x:c r="K59" s="20" t="str">
        <x:v>ISSUER_LEVEL</x:v>
      </x:c>
      <x:c r="L59" s="20" t="str">
        <x:v>CE-013-01</x:v>
      </x:c>
      <x:c r="M59" s="20"/>
      <x:c r="N59" s="20" t="str">
        <x:v>2020-09</x:v>
      </x:c>
      <x:c r="O59" s="20" t="str">
        <x:v>EXPLICIT_DISCLOSED_RATIO</x:v>
      </x:c>
      <x:c r="P59" s="26" t="n">
        <x:v>0.0079</x:v>
      </x:c>
      <x:c r="Q59" s="20" t="str">
        <x:v>M-301563-CE013-SMEFUND</x:v>
      </x:c>
      <x:c r="R59" s="20" t="str">
        <x:v>EXPLICIT_DISCLOSED_RATIO</x:v>
      </x:c>
      <x:c r="S59" s="20" t="n">
        <x:v>387596</x:v>
      </x:c>
      <x:c r="T59" s="20" t="n">
        <x:v>48837074</x:v>
      </x:c>
      <x:c r="U59" s="20" t="str">
        <x:v>原披露数量单位</x:v>
      </x:c>
      <x:c r="V59" s="20" t="str">
        <x:v>S5-YH-P63-64</x:v>
      </x:c>
      <x:c r="W59" s="20" t="str">
        <x:v>63-64</x:v>
      </x:c>
      <x:c r="X59" s="20" t="str">
        <x:v>ORIGINAL_PROSPECTUS_VERIFIED</x:v>
      </x:c>
      <x:c r="Y59" s="20" t="n">
        <x:v>0</x:v>
      </x:c>
      <x:c r="Z59" s="20" t="str">
        <x:v>同一投资者—事件的CAPITAL_INCREASE重复语义边。</x:v>
      </x:c>
      <x:c r="AA59" s="20" t="str">
        <x:v>重复语义边；展示比例但统计必须去重</x:v>
      </x:c>
    </x:row>
    <x:row r="60" ht="54" customHeight="1">
      <x:c r="A60" s="44" t="str">
        <x:v>301563</x:v>
      </x:c>
      <x:c r="B60" s="20" t="str">
        <x:v>云汉芯城</x:v>
      </x:c>
      <x:c r="C60" s="20" t="str">
        <x:v>EDGE-056</x:v>
      </x:c>
      <x:c r="D60" s="20" t="str">
        <x:v>PATH-056</x:v>
      </x:c>
      <x:c r="E60" s="20" t="str">
        <x:v>WEEK8_FROZEN</x:v>
      </x:c>
      <x:c r="F60" s="20" t="str">
        <x:v>ENT-R001</x:v>
      </x:c>
      <x:c r="G60" s="20" t="str">
        <x:v>丰利财富新三板成长基金</x:v>
      </x:c>
      <x:c r="H60" s="20" t="str">
        <x:v>PEVC_CONFIRMED</x:v>
      </x:c>
      <x:c r="I60" s="20" t="str">
        <x:v>OTHER</x:v>
      </x:c>
      <x:c r="J60" s="20" t="str">
        <x:v>INDIRECT</x:v>
      </x:c>
      <x:c r="K60" s="20" t="str">
        <x:v>INDIRECT_LEVEL</x:v>
      </x:c>
      <x:c r="L60" s="20" t="str">
        <x:v>CE-007</x:v>
      </x:c>
      <x:c r="M60" s="20"/>
      <x:c r="N60" s="20" t="str">
        <x:v>2015-08</x:v>
      </x:c>
      <x:c r="O60" s="20" t="str">
        <x:v>STRUCTURAL_NA_INDIRECT_RELATION</x:v>
      </x:c>
      <x:c r="P60" s="26"/>
      <x:c r="Q60" s="20"/>
      <x:c r="R60" s="20"/>
      <x:c r="S60" s="20"/>
      <x:c r="T60" s="20"/>
      <x:c r="U60" s="20" t="str">
        <x:v>不适用</x:v>
      </x:c>
      <x:c r="V60" s="20" t="str">
        <x:v>EVD-004;EVD-025</x:v>
      </x:c>
      <x:c r="W60" s="20" t="str">
        <x:v>58</x:v>
      </x:c>
      <x:c r="X60" s="20" t="str">
        <x:v>ORIGINAL_EXCERPT_RETAINED</x:v>
      </x:c>
      <x:c r="Y60" s="20" t="n">
        <x:v>0</x:v>
      </x:c>
      <x:c r="Z60" s="20"/>
      <x:c r="AA60" s="20" t="str">
        <x:v>基金代表、GP或管理关系，不是发行人持股。</x:v>
      </x:c>
    </x:row>
    <x:row r="61" ht="54" customHeight="1">
      <x:c r="A61" s="44" t="str">
        <x:v>301563</x:v>
      </x:c>
      <x:c r="B61" s="20" t="str">
        <x:v>云汉芯城</x:v>
      </x:c>
      <x:c r="C61" s="20" t="str">
        <x:v>EDGE-057</x:v>
      </x:c>
      <x:c r="D61" s="20" t="str">
        <x:v>PATH-056</x:v>
      </x:c>
      <x:c r="E61" s="20" t="str">
        <x:v>WEEK8_FROZEN</x:v>
      </x:c>
      <x:c r="F61" s="20" t="str">
        <x:v>ENT-009</x:v>
      </x:c>
      <x:c r="G61" s="20" t="str">
        <x:v>丰利财富（北京）国际资本管理股份有限公司</x:v>
      </x:c>
      <x:c r="H61" s="20" t="str">
        <x:v>PEVC_RELATED</x:v>
      </x:c>
      <x:c r="I61" s="20" t="str">
        <x:v>EQUITY_HOLDING</x:v>
      </x:c>
      <x:c r="J61" s="20" t="str">
        <x:v>DIRECT</x:v>
      </x:c>
      <x:c r="K61" s="20" t="str">
        <x:v>ISSUER_LEVEL</x:v>
      </x:c>
      <x:c r="L61" s="20" t="str">
        <x:v>CE-007</x:v>
      </x:c>
      <x:c r="M61" s="20"/>
      <x:c r="N61" s="20" t="str">
        <x:v>2015-08</x:v>
      </x:c>
      <x:c r="O61" s="20" t="str">
        <x:v>EXPLICIT_DISCLOSED_RATIO</x:v>
      </x:c>
      <x:c r="P61" s="26" t="n">
        <x:v>0.016667</x:v>
      </x:c>
      <x:c r="Q61" s="20" t="str">
        <x:v>M-301563-CE007-FENGLI</x:v>
      </x:c>
      <x:c r="R61" s="20" t="str">
        <x:v>EXPLICIT_DISCLOSED_RATIO</x:v>
      </x:c>
      <x:c r="S61" s="20" t="n">
        <x:v>359712</x:v>
      </x:c>
      <x:c r="T61" s="20" t="n">
        <x:v>21582733</x:v>
      </x:c>
      <x:c r="U61" s="20" t="str">
        <x:v>注册资本（元）</x:v>
      </x:c>
      <x:c r="V61" s="20" t="str">
        <x:v>S6-YH-2015-FL-LEGAL</x:v>
      </x:c>
      <x:c r="W61" s="20" t="str">
        <x:v>PDF第186页</x:v>
      </x:c>
      <x:c r="X61" s="20" t="str">
        <x:v>ORIGINAL_LEGAL_OPINION</x:v>
      </x:c>
      <x:c r="Y61" s="20" t="n">
        <x:v>0</x:v>
      </x:c>
      <x:c r="Z61" s="20" t="str">
        <x:v>同一投资者—事件的EQUITY_HOLDING重复语义边。</x:v>
      </x:c>
      <x:c r="AA61" s="20" t="str">
        <x:v>重复语义边；展示比例但统计必须去重</x:v>
      </x:c>
    </x:row>
    <x:row r="62" ht="54" customHeight="1">
      <x:c r="A62" s="44" t="str">
        <x:v>301563</x:v>
      </x:c>
      <x:c r="B62" s="20" t="str">
        <x:v>云汉芯城</x:v>
      </x:c>
      <x:c r="C62" s="20" t="str">
        <x:v>EDGE-058</x:v>
      </x:c>
      <x:c r="D62" s="20" t="str">
        <x:v>PATH-057</x:v>
      </x:c>
      <x:c r="E62" s="20" t="str">
        <x:v>WEEK8_FROZEN</x:v>
      </x:c>
      <x:c r="F62" s="20" t="str">
        <x:v>ENT-R002</x:v>
      </x:c>
      <x:c r="G62" s="20" t="str">
        <x:v>东方富海（芜湖）股权投资基金管理企业（有限合伙）</x:v>
      </x:c>
      <x:c r="H62" s="20" t="str">
        <x:v>PEVC_RELATED</x:v>
      </x:c>
      <x:c r="I62" s="20" t="str">
        <x:v>GP_MANAGEMENT</x:v>
      </x:c>
      <x:c r="J62" s="20" t="str">
        <x:v>INDIRECT</x:v>
      </x:c>
      <x:c r="K62" s="20" t="str">
        <x:v>INDIRECT_LEVEL</x:v>
      </x:c>
      <x:c r="L62" s="20"/>
      <x:c r="M62" s="20"/>
      <x:c r="N62" s="20"/>
      <x:c r="O62" s="20" t="str">
        <x:v>STRUCTURAL_NA_INDIRECT_RELATION</x:v>
      </x:c>
      <x:c r="P62" s="26"/>
      <x:c r="Q62" s="20"/>
      <x:c r="R62" s="20"/>
      <x:c r="S62" s="20"/>
      <x:c r="T62" s="20"/>
      <x:c r="U62" s="20" t="str">
        <x:v>不适用</x:v>
      </x:c>
      <x:c r="V62" s="20" t="str">
        <x:v>EVD-005</x:v>
      </x:c>
      <x:c r="W62" s="20" t="str">
        <x:v>58</x:v>
      </x:c>
      <x:c r="X62" s="20" t="str">
        <x:v>ORIGINAL_EXCERPT_RETAINED</x:v>
      </x:c>
      <x:c r="Y62" s="20" t="n">
        <x:v>0</x:v>
      </x:c>
      <x:c r="Z62" s="20"/>
      <x:c r="AA62" s="20" t="str">
        <x:v>基金代表、GP或管理关系，不是发行人持股。</x:v>
      </x:c>
    </x:row>
    <x:row r="63" ht="54" customHeight="1">
      <x:c r="A63" s="44" t="str">
        <x:v>301563</x:v>
      </x:c>
      <x:c r="B63" s="20" t="str">
        <x:v>云汉芯城</x:v>
      </x:c>
      <x:c r="C63" s="20" t="str">
        <x:v>EDGE-059</x:v>
      </x:c>
      <x:c r="D63" s="20" t="str">
        <x:v>PATH-058</x:v>
      </x:c>
      <x:c r="E63" s="20" t="str">
        <x:v>WEEK8_FROZEN</x:v>
      </x:c>
      <x:c r="F63" s="20" t="str">
        <x:v>ENT-R003</x:v>
      </x:c>
      <x:c r="G63" s="20" t="str">
        <x:v>厦门蜜呆资产管理合伙企业（有限合伙）</x:v>
      </x:c>
      <x:c r="H63" s="20" t="str">
        <x:v>PEVC_RELATED</x:v>
      </x:c>
      <x:c r="I63" s="20" t="str">
        <x:v>GP_MANAGEMENT</x:v>
      </x:c>
      <x:c r="J63" s="20" t="str">
        <x:v>INDIRECT</x:v>
      </x:c>
      <x:c r="K63" s="20" t="str">
        <x:v>INDIRECT_LEVEL</x:v>
      </x:c>
      <x:c r="L63" s="20"/>
      <x:c r="M63" s="20"/>
      <x:c r="N63" s="20"/>
      <x:c r="O63" s="20" t="str">
        <x:v>STRUCTURAL_NA_INDIRECT_RELATION</x:v>
      </x:c>
      <x:c r="P63" s="26"/>
      <x:c r="Q63" s="20"/>
      <x:c r="R63" s="20"/>
      <x:c r="S63" s="20"/>
      <x:c r="T63" s="20"/>
      <x:c r="U63" s="20" t="str">
        <x:v>不适用</x:v>
      </x:c>
      <x:c r="V63" s="20" t="str">
        <x:v>EVD-005</x:v>
      </x:c>
      <x:c r="W63" s="20" t="str">
        <x:v>58</x:v>
      </x:c>
      <x:c r="X63" s="20" t="str">
        <x:v>ORIGINAL_EXCERPT_RETAINED</x:v>
      </x:c>
      <x:c r="Y63" s="20" t="n">
        <x:v>0</x:v>
      </x:c>
      <x:c r="Z63" s="20"/>
      <x:c r="AA63" s="20" t="str">
        <x:v>基金代表、GP或管理关系，不是发行人持股。</x:v>
      </x:c>
    </x:row>
    <x:row r="64" ht="54" customHeight="1">
      <x:c r="A64" s="44" t="str">
        <x:v>301563</x:v>
      </x:c>
      <x:c r="B64" s="20" t="str">
        <x:v>云汉芯城</x:v>
      </x:c>
      <x:c r="C64" s="20" t="str">
        <x:v>EDGE-060</x:v>
      </x:c>
      <x:c r="D64" s="20" t="str">
        <x:v>PATH-059</x:v>
      </x:c>
      <x:c r="E64" s="20" t="str">
        <x:v>WEEK8_FROZEN</x:v>
      </x:c>
      <x:c r="F64" s="20" t="str">
        <x:v>ENT-R002</x:v>
      </x:c>
      <x:c r="G64" s="20" t="str">
        <x:v>东方富海（芜湖）股权投资基金管理企业（有限合伙）</x:v>
      </x:c>
      <x:c r="H64" s="20" t="str">
        <x:v>PEVC_RELATED</x:v>
      </x:c>
      <x:c r="I64" s="20" t="str">
        <x:v>GP_MANAGEMENT</x:v>
      </x:c>
      <x:c r="J64" s="20" t="str">
        <x:v>INDIRECT</x:v>
      </x:c>
      <x:c r="K64" s="20" t="str">
        <x:v>INDIRECT_LEVEL</x:v>
      </x:c>
      <x:c r="L64" s="20"/>
      <x:c r="M64" s="20"/>
      <x:c r="N64" s="20"/>
      <x:c r="O64" s="20" t="str">
        <x:v>STRUCTURAL_NA_INDIRECT_RELATION</x:v>
      </x:c>
      <x:c r="P64" s="26"/>
      <x:c r="Q64" s="20"/>
      <x:c r="R64" s="20"/>
      <x:c r="S64" s="20"/>
      <x:c r="T64" s="20"/>
      <x:c r="U64" s="20" t="str">
        <x:v>不适用</x:v>
      </x:c>
      <x:c r="V64" s="20" t="str">
        <x:v>EVD-017</x:v>
      </x:c>
      <x:c r="W64" s="20" t="str">
        <x:v>88</x:v>
      </x:c>
      <x:c r="X64" s="20" t="str">
        <x:v>ORIGINAL_EXCERPT_RETAINED</x:v>
      </x:c>
      <x:c r="Y64" s="20" t="n">
        <x:v>0</x:v>
      </x:c>
      <x:c r="Z64" s="20"/>
      <x:c r="AA64" s="20" t="str">
        <x:v>基金代表、GP或管理关系，不是发行人持股。</x:v>
      </x:c>
    </x:row>
    <x:row r="65" ht="54" customHeight="1">
      <x:c r="A65" s="44" t="str">
        <x:v>301563</x:v>
      </x:c>
      <x:c r="B65" s="20" t="str">
        <x:v>云汉芯城</x:v>
      </x:c>
      <x:c r="C65" s="20" t="str">
        <x:v>EDGE-061</x:v>
      </x:c>
      <x:c r="D65" s="20" t="str">
        <x:v>PATH-060</x:v>
      </x:c>
      <x:c r="E65" s="20" t="str">
        <x:v>WEEK8_FROZEN</x:v>
      </x:c>
      <x:c r="F65" s="20" t="str">
        <x:v>ENT-R004</x:v>
      </x:c>
      <x:c r="G65" s="20" t="str">
        <x:v>东方富海（上海）投资管理合伙企业（有限合伙）</x:v>
      </x:c>
      <x:c r="H65" s="20" t="str">
        <x:v>PEVC_RELATED</x:v>
      </x:c>
      <x:c r="I65" s="20" t="str">
        <x:v>GP_MANAGEMENT</x:v>
      </x:c>
      <x:c r="J65" s="20" t="str">
        <x:v>INDIRECT</x:v>
      </x:c>
      <x:c r="K65" s="20" t="str">
        <x:v>INDIRECT_LEVEL</x:v>
      </x:c>
      <x:c r="L65" s="20"/>
      <x:c r="M65" s="20"/>
      <x:c r="N65" s="20"/>
      <x:c r="O65" s="20" t="str">
        <x:v>STRUCTURAL_NA_INDIRECT_RELATION</x:v>
      </x:c>
      <x:c r="P65" s="26"/>
      <x:c r="Q65" s="20"/>
      <x:c r="R65" s="20"/>
      <x:c r="S65" s="20"/>
      <x:c r="T65" s="20"/>
      <x:c r="U65" s="20" t="str">
        <x:v>不适用</x:v>
      </x:c>
      <x:c r="V65" s="20" t="str">
        <x:v>EVD-014</x:v>
      </x:c>
      <x:c r="W65" s="20" t="str">
        <x:v>83</x:v>
      </x:c>
      <x:c r="X65" s="20" t="str">
        <x:v>ORIGINAL_EXCERPT_RETAINED</x:v>
      </x:c>
      <x:c r="Y65" s="20" t="n">
        <x:v>0</x:v>
      </x:c>
      <x:c r="Z65" s="20"/>
      <x:c r="AA65" s="20" t="str">
        <x:v>基金代表、GP或管理关系，不是发行人持股。</x:v>
      </x:c>
    </x:row>
    <x:row r="66" ht="54" customHeight="1">
      <x:c r="A66" s="44" t="str">
        <x:v>301563</x:v>
      </x:c>
      <x:c r="B66" s="20" t="str">
        <x:v>云汉芯城</x:v>
      </x:c>
      <x:c r="C66" s="20" t="str">
        <x:v>EDGE-062</x:v>
      </x:c>
      <x:c r="D66" s="20" t="str">
        <x:v>PATH-061</x:v>
      </x:c>
      <x:c r="E66" s="20" t="str">
        <x:v>WEEK8_FROZEN</x:v>
      </x:c>
      <x:c r="F66" s="20" t="str">
        <x:v>ENT-R005</x:v>
      </x:c>
      <x:c r="G66" s="20" t="str">
        <x:v>芜湖兴安创业投资基金管理有限公司</x:v>
      </x:c>
      <x:c r="H66" s="20" t="str">
        <x:v>PEVC_RELATED</x:v>
      </x:c>
      <x:c r="I66" s="20" t="str">
        <x:v>GP_MANAGEMENT</x:v>
      </x:c>
      <x:c r="J66" s="20" t="str">
        <x:v>INDIRECT</x:v>
      </x:c>
      <x:c r="K66" s="20" t="str">
        <x:v>INDIRECT_LEVEL</x:v>
      </x:c>
      <x:c r="L66" s="20"/>
      <x:c r="M66" s="20"/>
      <x:c r="N66" s="20"/>
      <x:c r="O66" s="20" t="str">
        <x:v>STRUCTURAL_NA_INDIRECT_RELATION</x:v>
      </x:c>
      <x:c r="P66" s="26"/>
      <x:c r="Q66" s="20"/>
      <x:c r="R66" s="20"/>
      <x:c r="S66" s="20"/>
      <x:c r="T66" s="20"/>
      <x:c r="U66" s="20" t="str">
        <x:v>不适用</x:v>
      </x:c>
      <x:c r="V66" s="20" t="str">
        <x:v>EVD-013</x:v>
      </x:c>
      <x:c r="W66" s="20" t="str">
        <x:v>81</x:v>
      </x:c>
      <x:c r="X66" s="20" t="str">
        <x:v>ORIGINAL_EXCERPT_RETAINED</x:v>
      </x:c>
      <x:c r="Y66" s="20" t="n">
        <x:v>0</x:v>
      </x:c>
      <x:c r="Z66" s="20"/>
      <x:c r="AA66" s="20" t="str">
        <x:v>基金代表、GP或管理关系，不是发行人持股。</x:v>
      </x:c>
    </x:row>
    <x:row r="67" ht="54" customHeight="1">
      <x:c r="A67" s="44" t="str">
        <x:v>301563</x:v>
      </x:c>
      <x:c r="B67" s="20" t="str">
        <x:v>云汉芯城</x:v>
      </x:c>
      <x:c r="C67" s="20" t="str">
        <x:v>EDGE-063</x:v>
      </x:c>
      <x:c r="D67" s="20" t="str">
        <x:v>PATH-062</x:v>
      </x:c>
      <x:c r="E67" s="20" t="str">
        <x:v>WEEK8_FROZEN</x:v>
      </x:c>
      <x:c r="F67" s="20" t="str">
        <x:v>ENT-R006</x:v>
      </x:c>
      <x:c r="G67" s="20" t="str">
        <x:v>深圳市东方富海创业投资管理有限公司</x:v>
      </x:c>
      <x:c r="H67" s="20" t="str">
        <x:v>PEVC_RELATED</x:v>
      </x:c>
      <x:c r="I67" s="20" t="str">
        <x:v>GP_MANAGEMENT</x:v>
      </x:c>
      <x:c r="J67" s="20" t="str">
        <x:v>INDIRECT</x:v>
      </x:c>
      <x:c r="K67" s="20" t="str">
        <x:v>INDIRECT_LEVEL</x:v>
      </x:c>
      <x:c r="L67" s="20"/>
      <x:c r="M67" s="20"/>
      <x:c r="N67" s="20"/>
      <x:c r="O67" s="20" t="str">
        <x:v>STRUCTURAL_NA_INDIRECT_RELATION</x:v>
      </x:c>
      <x:c r="P67" s="26"/>
      <x:c r="Q67" s="20"/>
      <x:c r="R67" s="20"/>
      <x:c r="S67" s="20"/>
      <x:c r="T67" s="20"/>
      <x:c r="U67" s="20" t="str">
        <x:v>不适用</x:v>
      </x:c>
      <x:c r="V67" s="20" t="str">
        <x:v>EVD-015</x:v>
      </x:c>
      <x:c r="W67" s="20" t="str">
        <x:v>84</x:v>
      </x:c>
      <x:c r="X67" s="20" t="str">
        <x:v>ORIGINAL_EXCERPT_RETAINED</x:v>
      </x:c>
      <x:c r="Y67" s="20" t="n">
        <x:v>0</x:v>
      </x:c>
      <x:c r="Z67" s="20"/>
      <x:c r="AA67" s="20" t="str">
        <x:v>基金代表、GP或管理关系，不是发行人持股。</x:v>
      </x:c>
    </x:row>
    <x:row r="68" ht="54" customHeight="1">
      <x:c r="A68" s="44" t="str">
        <x:v>301563</x:v>
      </x:c>
      <x:c r="B68" s="20" t="str">
        <x:v>云汉芯城</x:v>
      </x:c>
      <x:c r="C68" s="20" t="str">
        <x:v>EDGE-064</x:v>
      </x:c>
      <x:c r="D68" s="20" t="str">
        <x:v>PATH-063</x:v>
      </x:c>
      <x:c r="E68" s="20" t="str">
        <x:v>WEEK8_FROZEN</x:v>
      </x:c>
      <x:c r="F68" s="20" t="str">
        <x:v>ENT-R007</x:v>
      </x:c>
      <x:c r="G68" s="20" t="str">
        <x:v>中国科技产业投资管理有限公司</x:v>
      </x:c>
      <x:c r="H68" s="20" t="str">
        <x:v>PEVC_RELATED</x:v>
      </x:c>
      <x:c r="I68" s="20" t="str">
        <x:v>GP_MANAGEMENT</x:v>
      </x:c>
      <x:c r="J68" s="20" t="str">
        <x:v>INDIRECT</x:v>
      </x:c>
      <x:c r="K68" s="20" t="str">
        <x:v>INDIRECT_LEVEL</x:v>
      </x:c>
      <x:c r="L68" s="20"/>
      <x:c r="M68" s="20"/>
      <x:c r="N68" s="20"/>
      <x:c r="O68" s="20" t="str">
        <x:v>STRUCTURAL_NA_INDIRECT_RELATION</x:v>
      </x:c>
      <x:c r="P68" s="26"/>
      <x:c r="Q68" s="20"/>
      <x:c r="R68" s="20"/>
      <x:c r="S68" s="20"/>
      <x:c r="T68" s="20"/>
      <x:c r="U68" s="20" t="str">
        <x:v>不适用</x:v>
      </x:c>
      <x:c r="V68" s="20" t="str">
        <x:v>EVD-018</x:v>
      </x:c>
      <x:c r="W68" s="20" t="str">
        <x:v>89</x:v>
      </x:c>
      <x:c r="X68" s="20" t="str">
        <x:v>ORIGINAL_EXCERPT_RETAINED</x:v>
      </x:c>
      <x:c r="Y68" s="20" t="n">
        <x:v>0</x:v>
      </x:c>
      <x:c r="Z68" s="20"/>
      <x:c r="AA68" s="20" t="str">
        <x:v>基金代表、GP或管理关系，不是发行人持股。</x:v>
      </x:c>
    </x:row>
    <x:row r="69" ht="54" customHeight="1">
      <x:c r="A69" s="44" t="str">
        <x:v>301563</x:v>
      </x:c>
      <x:c r="B69" s="20" t="str">
        <x:v>云汉芯城</x:v>
      </x:c>
      <x:c r="C69" s="20" t="str">
        <x:v>EDGE-065</x:v>
      </x:c>
      <x:c r="D69" s="20" t="str">
        <x:v>PATH-064</x:v>
      </x:c>
      <x:c r="E69" s="20" t="str">
        <x:v>WEEK8_FROZEN</x:v>
      </x:c>
      <x:c r="F69" s="20" t="str">
        <x:v>ENT-R008</x:v>
      </x:c>
      <x:c r="G69" s="20" t="str">
        <x:v>深圳市富海中小企业发展基金股权投资管理有限公司</x:v>
      </x:c>
      <x:c r="H69" s="20" t="str">
        <x:v>PEVC_RELATED</x:v>
      </x:c>
      <x:c r="I69" s="20" t="str">
        <x:v>GP_MANAGEMENT</x:v>
      </x:c>
      <x:c r="J69" s="20" t="str">
        <x:v>INDIRECT</x:v>
      </x:c>
      <x:c r="K69" s="20" t="str">
        <x:v>INDIRECT_LEVEL</x:v>
      </x:c>
      <x:c r="L69" s="20"/>
      <x:c r="M69" s="20"/>
      <x:c r="N69" s="20"/>
      <x:c r="O69" s="20" t="str">
        <x:v>STRUCTURAL_NA_INDIRECT_RELATION</x:v>
      </x:c>
      <x:c r="P69" s="26"/>
      <x:c r="Q69" s="20"/>
      <x:c r="R69" s="20"/>
      <x:c r="S69" s="20"/>
      <x:c r="T69" s="20"/>
      <x:c r="U69" s="20" t="str">
        <x:v>不适用</x:v>
      </x:c>
      <x:c r="V69" s="20" t="str">
        <x:v>EVD-016</x:v>
      </x:c>
      <x:c r="W69" s="20" t="str">
        <x:v>87</x:v>
      </x:c>
      <x:c r="X69" s="20" t="str">
        <x:v>ORIGINAL_EXCERPT_RETAINED</x:v>
      </x:c>
      <x:c r="Y69" s="20" t="n">
        <x:v>0</x:v>
      </x:c>
      <x:c r="Z69" s="20"/>
      <x:c r="AA69" s="20" t="str">
        <x:v>基金代表、GP或管理关系，不是发行人持股。</x:v>
      </x:c>
    </x:row>
    <x:row r="70" ht="54" customHeight="1">
      <x:c r="A70" s="44" t="str">
        <x:v>603418</x:v>
      </x:c>
      <x:c r="B70" s="20" t="str">
        <x:v>友升股份</x:v>
      </x:c>
      <x:c r="C70" s="20" t="str">
        <x:v>PATH-603418-00006-E01</x:v>
      </x:c>
      <x:c r="D70" s="20" t="str">
        <x:v>PATH-603418-00006</x:v>
      </x:c>
      <x:c r="E70" s="20" t="str">
        <x:v>WEEK8_FROZEN</x:v>
      </x:c>
      <x:c r="F70" s="20" t="str">
        <x:v>INV-603418-0010</x:v>
      </x:c>
      <x:c r="G70" s="20" t="str">
        <x:v>金浦科创基金</x:v>
      </x:c>
      <x:c r="H70" s="20" t="str">
        <x:v>PEVC_CONFIRMED</x:v>
      </x:c>
      <x:c r="I70" s="20" t="str">
        <x:v>CAPITAL_INCREASE</x:v>
      </x:c>
      <x:c r="J70" s="20" t="str">
        <x:v>DIRECT</x:v>
      </x:c>
      <x:c r="K70" s="20" t="str">
        <x:v>ISSUER_LEVEL</x:v>
      </x:c>
      <x:c r="L70" s="20" t="str">
        <x:v>EVT-603418-0003</x:v>
      </x:c>
      <x:c r="M70" s="20" t="str">
        <x:v>TRX-603418-0003-01</x:v>
      </x:c>
      <x:c r="N70" s="20" t="str">
        <x:v>2020-09</x:v>
      </x:c>
      <x:c r="O70" s="20" t="str">
        <x:v>EXPLICIT_DISCLOSED_RATIO</x:v>
      </x:c>
      <x:c r="P70" s="26" t="n">
        <x:v>0.0269</x:v>
      </x:c>
      <x:c r="Q70" s="20" t="str">
        <x:v>M-603418-202009-JPKC</x:v>
      </x:c>
      <x:c r="R70" s="20" t="str">
        <x:v>EXPLICIT_DISCLOSED_RATIO</x:v>
      </x:c>
      <x:c r="S70" s="20" t="n">
        <x:v>360</x:v>
      </x:c>
      <x:c r="T70" s="20" t="n">
        <x:v>13380</x:v>
      </x:c>
      <x:c r="U70" s="20" t="str">
        <x:v>原披露数量单位</x:v>
      </x:c>
      <x:c r="V70" s="20" t="str">
        <x:v>EVD-603418-0004-01</x:v>
      </x:c>
      <x:c r="W70" s="20" t="str">
        <x:v>44</x:v>
      </x:c>
      <x:c r="X70" s="20" t="str">
        <x:v>ORIGINAL_PROSPECTUS_VERIFIED</x:v>
      </x:c>
      <x:c r="Y70" s="20" t="n">
        <x:v>1</x:v>
      </x:c>
      <x:c r="Z70" s="20" t="str">
        <x:v>2020年9月增资后股权结构表直接披露2.69%。</x:v>
      </x:c>
      <x:c r="AA70" s="20" t="str">
        <x:v>可进入唯一测量层；不回写冻结文件</x:v>
      </x:c>
    </x:row>
    <x:row r="71" ht="54" customHeight="1">
      <x:c r="A71" s="44" t="str">
        <x:v>603418</x:v>
      </x:c>
      <x:c r="B71" s="20" t="str">
        <x:v>友升股份</x:v>
      </x:c>
      <x:c r="C71" s="20" t="str">
        <x:v>PATH-603418-00007-E01</x:v>
      </x:c>
      <x:c r="D71" s="20" t="str">
        <x:v>PATH-603418-00007</x:v>
      </x:c>
      <x:c r="E71" s="20" t="str">
        <x:v>WEEK8_FROZEN</x:v>
      </x:c>
      <x:c r="F71" s="20" t="str">
        <x:v>INV-603418-0009</x:v>
      </x:c>
      <x:c r="G71" s="20" t="str">
        <x:v>金浦临港基金</x:v>
      </x:c>
      <x:c r="H71" s="20" t="str">
        <x:v>PEVC_CONFIRMED</x:v>
      </x:c>
      <x:c r="I71" s="20" t="str">
        <x:v>CAPITAL_INCREASE</x:v>
      </x:c>
      <x:c r="J71" s="20" t="str">
        <x:v>DIRECT</x:v>
      </x:c>
      <x:c r="K71" s="20" t="str">
        <x:v>ISSUER_LEVEL</x:v>
      </x:c>
      <x:c r="L71" s="20" t="str">
        <x:v>EVT-603418-0003</x:v>
      </x:c>
      <x:c r="M71" s="20" t="str">
        <x:v>TRX-603418-0003-01</x:v>
      </x:c>
      <x:c r="N71" s="20" t="str">
        <x:v>2020-09</x:v>
      </x:c>
      <x:c r="O71" s="20" t="str">
        <x:v>EXPLICIT_DISCLOSED_RATIO</x:v>
      </x:c>
      <x:c r="P71" s="26" t="n">
        <x:v>0.0628</x:v>
      </x:c>
      <x:c r="Q71" s="20" t="str">
        <x:v>M-603418-202009-JPLG</x:v>
      </x:c>
      <x:c r="R71" s="20" t="str">
        <x:v>EXPLICIT_DISCLOSED_RATIO</x:v>
      </x:c>
      <x:c r="S71" s="20" t="n">
        <x:v>840</x:v>
      </x:c>
      <x:c r="T71" s="20" t="n">
        <x:v>13380</x:v>
      </x:c>
      <x:c r="U71" s="20" t="str">
        <x:v>原披露数量单位</x:v>
      </x:c>
      <x:c r="V71" s="20" t="str">
        <x:v>EVD-603418-0004-01</x:v>
      </x:c>
      <x:c r="W71" s="20" t="str">
        <x:v>44</x:v>
      </x:c>
      <x:c r="X71" s="20" t="str">
        <x:v>ORIGINAL_PROSPECTUS_VERIFIED</x:v>
      </x:c>
      <x:c r="Y71" s="20" t="n">
        <x:v>1</x:v>
      </x:c>
      <x:c r="Z71" s="20" t="str">
        <x:v>2020年9月增资后股权结构表直接披露6.28%。</x:v>
      </x:c>
      <x:c r="AA71" s="20" t="str">
        <x:v>可进入唯一测量层；不回写冻结文件</x:v>
      </x:c>
    </x:row>
    <x:row r="72" ht="54" customHeight="1">
      <x:c r="A72" s="44" t="str">
        <x:v>920100</x:v>
      </x:c>
      <x:c r="B72" s="20" t="str">
        <x:v>三协电机</x:v>
      </x:c>
      <x:c r="C72" s="20" t="str">
        <x:v>SUP-EDGE-920100-2022-001</x:v>
      </x:c>
      <x:c r="D72" s="20" t="str">
        <x:v>SUP-PATH-920100-2022-001</x:v>
      </x:c>
      <x:c r="E72" s="20" t="str">
        <x:v>WEEK9_SUPPLEMENTARY_RESEARCH</x:v>
      </x:c>
      <x:c r="F72" s="20" t="str">
        <x:v>STD-920100-PEVC-001</x:v>
      </x:c>
      <x:c r="G72" s="20" t="str">
        <x:v>稳正景明</x:v>
      </x:c>
      <x:c r="H72" s="20" t="str">
        <x:v>PEVC_CONFIRMED</x:v>
      </x:c>
      <x:c r="I72" s="20" t="str">
        <x:v>DIRECTIONAL_ISSUANCE</x:v>
      </x:c>
      <x:c r="J72" s="20" t="str">
        <x:v>DIRECT</x:v>
      </x:c>
      <x:c r="K72" s="20" t="str">
        <x:v>ISSUER_LEVEL</x:v>
      </x:c>
      <x:c r="L72" s="20" t="str">
        <x:v>W7-OVR-920100-2022-DI</x:v>
      </x:c>
      <x:c r="M72" s="20" t="str">
        <x:v>W7-OVR-920100-2022-DI-T001</x:v>
      </x:c>
      <x:c r="N72" s="20" t="str">
        <x:v>2022-09-01</x:v>
      </x:c>
      <x:c r="O72" s="20" t="str">
        <x:v>EXPLICIT_DISCLOSED_RATIO</x:v>
      </x:c>
      <x:c r="P72" s="26" t="n">
        <x:v>0.099909</x:v>
      </x:c>
      <x:c r="Q72" s="20" t="str">
        <x:v>M-920100-2022-WZJM</x:v>
      </x:c>
      <x:c r="R72" s="20" t="str">
        <x:v>EXPLICIT_DISCLOSED_RATIO</x:v>
      </x:c>
      <x:c r="S72" s="20" t="n">
        <x:v>3526786</x:v>
      </x:c>
      <x:c r="T72" s="20" t="n">
        <x:v>35300000</x:v>
      </x:c>
      <x:c r="U72" s="20" t="str">
        <x:v>股份（股）</x:v>
      </x:c>
      <x:c r="V72" s="20" t="str">
        <x:v>S6-SX-2023-H1</x:v>
      </x:c>
      <x:c r="W72" s="20" t="str">
        <x:v>PDF第28、124页</x:v>
      </x:c>
      <x:c r="X72" s="20" t="str">
        <x:v>ORIGINAL_ISSUER_PERIODIC_REPORT</x:v>
      </x:c>
      <x:c r="Y72" s="20" t="n">
        <x:v>1</x:v>
      </x:c>
      <x:c r="Z72" s="20" t="str">
        <x:v>半年度报告披露发行后总股本3,530万股、稳正景明认购3,526,786股并持有9.9909%。</x:v>
      </x:c>
      <x:c r="AA72" s="20" t="str">
        <x:v>可进入唯一测量层；不回写冻结文件</x:v>
      </x:c>
    </x:row>
    <x:row r="73" ht="54" customHeight="1">
      <x:c r="A73" s="45" t="str">
        <x:v>920100</x:v>
      </x:c>
      <x:c r="B73" s="21" t="str">
        <x:v>三协电机</x:v>
      </x:c>
      <x:c r="C73" s="21" t="str">
        <x:v>SUP-EDGE-920100-2022-002</x:v>
      </x:c>
      <x:c r="D73" s="21" t="str">
        <x:v>SUP-PATH-920100-2022-002</x:v>
      </x:c>
      <x:c r="E73" s="21" t="str">
        <x:v>WEEK9_SUPPLEMENTARY_RESEARCH</x:v>
      </x:c>
      <x:c r="F73" s="21" t="str">
        <x:v>STD-920100-PEVC-002</x:v>
      </x:c>
      <x:c r="G73" s="21" t="str">
        <x:v>长泽创投</x:v>
      </x:c>
      <x:c r="H73" s="21" t="str">
        <x:v>PEVC_CONFIRMED</x:v>
      </x:c>
      <x:c r="I73" s="21" t="str">
        <x:v>DIRECTIONAL_ISSUANCE</x:v>
      </x:c>
      <x:c r="J73" s="21" t="str">
        <x:v>DIRECT</x:v>
      </x:c>
      <x:c r="K73" s="21" t="str">
        <x:v>ISSUER_LEVEL</x:v>
      </x:c>
      <x:c r="L73" s="21" t="str">
        <x:v>W7-OVR-920100-2022-DI</x:v>
      </x:c>
      <x:c r="M73" s="21" t="str">
        <x:v>W7-OVR-920100-2022-DI-T001</x:v>
      </x:c>
      <x:c r="N73" s="21" t="str">
        <x:v>2022-09-01</x:v>
      </x:c>
      <x:c r="O73" s="21" t="str">
        <x:v>EXPLICIT_DISCLOSED_RATIO</x:v>
      </x:c>
      <x:c r="P73" s="31" t="n">
        <x:v>0.050233</x:v>
      </x:c>
      <x:c r="Q73" s="21" t="str">
        <x:v>M-920100-2022-WZCZ</x:v>
      </x:c>
      <x:c r="R73" s="21" t="str">
        <x:v>EXPLICIT_DISCLOSED_RATIO</x:v>
      </x:c>
      <x:c r="S73" s="21" t="n">
        <x:v>1773214</x:v>
      </x:c>
      <x:c r="T73" s="21" t="n">
        <x:v>35300000</x:v>
      </x:c>
      <x:c r="U73" s="21" t="str">
        <x:v>股份（股）</x:v>
      </x:c>
      <x:c r="V73" s="21" t="str">
        <x:v>S6-SX-2023-H1</x:v>
      </x:c>
      <x:c r="W73" s="21" t="str">
        <x:v>PDF第28、124页</x:v>
      </x:c>
      <x:c r="X73" s="21" t="str">
        <x:v>ORIGINAL_ISSUER_PERIODIC_REPORT</x:v>
      </x:c>
      <x:c r="Y73" s="21" t="n">
        <x:v>1</x:v>
      </x:c>
      <x:c r="Z73" s="21" t="str">
        <x:v>半年度报告披露发行后总股本3,530万股、稳正长泽认购1,773,214股并持有5.0233%；与研究层‘长泽创投’为同一标准主体。</x:v>
      </x:c>
      <x:c r="AA73" s="21" t="str">
        <x:v>可进入唯一测量层；不回写冻结文件</x:v>
      </x:c>
    </x:row>
  </x:sheetData>
  <x:mergeCells>
    <x:mergeCell ref="A1:AA1"/>
    <x:mergeCell ref="A2:AA2"/>
  </x:mergeCells>
  <x:conditionalFormatting sqref="O5:O73">
    <x:cfRule type="containsText" dxfId="0" priority="1" operator="containsText" text="EXPLICIT"/>
    <x:cfRule type="containsText" dxfId="1" priority="2" operator="containsText" text="STRUCTURAL"/>
    <x:cfRule type="containsText" dxfId="2" priority="3" operator="containsText" text="NOT_COMPUTABL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3" hidden="0" customWidth="1"/>
    <x:col min="3" max="3" width="17" hidden="0" customWidth="1"/>
    <x:col min="4" max="4" width="28" hidden="0" customWidth="1"/>
    <x:col min="5" max="5" width="28" hidden="0" customWidth="1"/>
    <x:col min="6" max="6" width="45" hidden="0" customWidth="1"/>
    <x:col min="7" max="7" width="25" hidden="0" customWidth="1"/>
    <x:col min="8" max="8" width="18" hidden="0" customWidth="1"/>
    <x:col min="9" max="9" width="18" hidden="0" customWidth="1"/>
    <x:col min="10" max="10" width="19" hidden="0" customWidth="1"/>
    <x:col min="11" max="11" width="22" hidden="0" customWidth="1"/>
    <x:col min="12" max="12" width="18" hidden="0" customWidth="1"/>
    <x:col min="13" max="13" width="22" hidden="0" customWidth="1"/>
    <x:col min="14" max="14" width="17" hidden="0" customWidth="1"/>
    <x:col min="15" max="15" width="38" hidden="0" customWidth="1"/>
    <x:col min="16" max="16" width="19" hidden="0" customWidth="1"/>
    <x:col min="17" max="17" width="30" hidden="0" customWidth="1"/>
  </x:cols>
  <x:sheetData>
    <x:row r="1" ht="30" customHeight="1">
      <x:c r="A1" s="3" t="str">
        <x:v>27条唯一投资者—事件测量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2" customHeight="1">
      <x:c r="A2" s="7" t="str">
        <x:v>H列为原文披露比例；L—N列用同表数量做公式复核。允许四舍五入误差为0.005个百分点。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6" customHeight="1">
      <x:c r="A4" s="11" t="str">
        <x:v>测量ID</x:v>
      </x:c>
      <x:c r="B4" s="11" t="str">
        <x:v>公司ID</x:v>
      </x:c>
      <x:c r="C4" s="11" t="str">
        <x:v>公司名称</x:v>
      </x:c>
      <x:c r="D4" s="11" t="str">
        <x:v>事件ID</x:v>
      </x:c>
      <x:c r="E4" s="11" t="str">
        <x:v>投资者实体ID</x:v>
      </x:c>
      <x:c r="F4" s="11" t="str">
        <x:v>投资者名称</x:v>
      </x:c>
      <x:c r="G4" s="11" t="str">
        <x:v>PE/VC状态</x:v>
      </x:c>
      <x:c r="H4" s="11" t="str">
        <x:v>披露比例</x:v>
      </x:c>
      <x:c r="I4" s="11" t="str">
        <x:v>分子</x:v>
      </x:c>
      <x:c r="J4" s="11" t="str">
        <x:v>分母</x:v>
      </x:c>
      <x:c r="K4" s="11" t="str">
        <x:v>数量口径</x:v>
      </x:c>
      <x:c r="L4" s="11" t="str">
        <x:v>计算比例</x:v>
      </x:c>
      <x:c r="M4" s="11" t="str">
        <x:v>计算-披露差异</x:v>
      </x:c>
      <x:c r="N4" s="11" t="str">
        <x:v>复核状态</x:v>
      </x:c>
      <x:c r="O4" s="11" t="str">
        <x:v>证据ID</x:v>
      </x:c>
      <x:c r="P4" s="11" t="str">
        <x:v>PDF页</x:v>
      </x:c>
      <x:c r="Q4" s="11" t="str">
        <x:v>canonical路径边</x:v>
      </x:c>
    </x:row>
    <x:row r="5" ht="58" customHeight="1">
      <x:c r="A5" s="19" t="str">
        <x:v>M-301563-CE003-WEISAI</x:v>
      </x:c>
      <x:c r="B5" s="43" t="str">
        <x:v>301563</x:v>
      </x:c>
      <x:c r="C5" s="19" t="str">
        <x:v>云汉芯城</x:v>
      </x:c>
      <x:c r="D5" s="19" t="str">
        <x:v>CE-003</x:v>
      </x:c>
      <x:c r="E5" s="19" t="str">
        <x:v>ENT-004</x:v>
      </x:c>
      <x:c r="F5" s="19" t="str">
        <x:v>宁波为赛咨询管理中心（有限合伙）</x:v>
      </x:c>
      <x:c r="G5" s="19" t="str">
        <x:v>PEVC_EXCLUDED</x:v>
      </x:c>
      <x:c r="H5" s="30" t="n">
        <x:v>0.0685</x:v>
      </x:c>
      <x:c r="I5" s="32"/>
      <x:c r="J5" s="32"/>
      <x:c r="K5" s="19" t="str">
        <x:v>不适用</x:v>
      </x:c>
      <x:c r="L5" s="30" t="str">
        <x:f>IF(AND(ISNUMBER(I5),ISNUMBER(J5)),I5/J5,"")</x:f>
      </x:c>
      <x:c r="M5" s="30" t="str">
        <x:f>IF(AND(ISNUMBER(H5),ISNUMBER(L5)),L5-H5,"")</x:f>
      </x:c>
      <x:c r="N5" s="19" t="str">
        <x:f>IF(M5="","NO_CALC",IF(ABS(M5)&lt;=0.00005,"PASS","REVIEW"))</x:f>
        <x:v>NO_CALC</x:v>
      </x:c>
      <x:c r="O5" s="19" t="str">
        <x:v>CE-003-E02</x:v>
      </x:c>
      <x:c r="P5" s="19" t="str">
        <x:v>56</x:v>
      </x:c>
      <x:c r="Q5" s="19" t="str">
        <x:v>EDGE-001</x:v>
      </x:c>
    </x:row>
    <x:row r="6" ht="58" customHeight="1">
      <x:c r="A6" s="20" t="str">
        <x:v>M-301563-CE004-LIYUAN</x:v>
      </x:c>
      <x:c r="B6" s="44" t="str">
        <x:v>301563</x:v>
      </x:c>
      <x:c r="C6" s="20" t="str">
        <x:v>云汉芯城</x:v>
      </x:c>
      <x:c r="D6" s="20" t="str">
        <x:v>CE-004</x:v>
      </x:c>
      <x:c r="E6" s="20" t="str">
        <x:v>ENT-005</x:v>
      </x:c>
      <x:c r="F6" s="20" t="str">
        <x:v>武汉力源信息技术股份有限公司</x:v>
      </x:c>
      <x:c r="G6" s="20" t="str">
        <x:v>PEVC_EXCLUDED</x:v>
      </x:c>
      <x:c r="H6" s="26" t="n">
        <x:v>0.11</x:v>
      </x:c>
      <x:c r="I6" s="33" t="n">
        <x:v>141025</x:v>
      </x:c>
      <x:c r="J6" s="33" t="n">
        <x:v>1282050</x:v>
      </x:c>
      <x:c r="K6" s="20" t="str">
        <x:v>注册资本（元）</x:v>
      </x:c>
      <x:c r="L6" s="26" t="n">
        <x:f>IF(AND(ISNUMBER(I6),ISNUMBER(J6)),I6/J6,"")</x:f>
        <x:v>0.10999960999961</x:v>
      </x:c>
      <x:c r="M6" s="26" t="n">
        <x:f>IF(AND(ISNUMBER(H6),ISNUMBER(L6)),L6-H6,"")</x:f>
        <x:v>-3.90000389996481e-7</x:v>
      </x:c>
      <x:c r="N6" s="20" t="str">
        <x:f>IF(M6="","NO_CALC",IF(ABS(M6)&lt;=0.00005,"PASS","REVIEW"))</x:f>
        <x:v>PASS</x:v>
      </x:c>
      <x:c r="O6" s="20" t="str">
        <x:v>S6-YH-2014-LY-ANN</x:v>
      </x:c>
      <x:c r="P6" s="20" t="str">
        <x:v>PDF第5页</x:v>
      </x:c>
      <x:c r="Q6" s="20" t="str">
        <x:v>EDGE-002</x:v>
      </x:c>
    </x:row>
    <x:row r="7" ht="58" customHeight="1">
      <x:c r="A7" s="20" t="str">
        <x:v>M-301563-CE004-DFH</x:v>
      </x:c>
      <x:c r="B7" s="44" t="str">
        <x:v>301563</x:v>
      </x:c>
      <x:c r="C7" s="20" t="str">
        <x:v>云汉芯城</x:v>
      </x:c>
      <x:c r="D7" s="20" t="str">
        <x:v>CE-004</x:v>
      </x:c>
      <x:c r="E7" s="20" t="str">
        <x:v>ENT-006</x:v>
      </x:c>
      <x:c r="F7" s="20" t="str">
        <x:v>东方富海（上海）创业投资企业（有限合伙）</x:v>
      </x:c>
      <x:c r="G7" s="20" t="str">
        <x:v>PEVC_CONFIRMED</x:v>
      </x:c>
      <x:c r="H7" s="26" t="n">
        <x:v>0.055</x:v>
      </x:c>
      <x:c r="I7" s="33" t="n">
        <x:v>70512.5</x:v>
      </x:c>
      <x:c r="J7" s="33" t="n">
        <x:v>1282050</x:v>
      </x:c>
      <x:c r="K7" s="20" t="str">
        <x:v>注册资本（元）</x:v>
      </x:c>
      <x:c r="L7" s="26" t="n">
        <x:f>IF(AND(ISNUMBER(I7),ISNUMBER(J7)),I7/J7,"")</x:f>
        <x:v>0.054999804999805</x:v>
      </x:c>
      <x:c r="M7" s="26" t="n">
        <x:f>IF(AND(ISNUMBER(H7),ISNUMBER(L7)),L7-H7,"")</x:f>
        <x:v>-1.950001949982405e-7</x:v>
      </x:c>
      <x:c r="N7" s="20" t="str">
        <x:f>IF(M7="","NO_CALC",IF(ABS(M7)&lt;=0.00005,"PASS","REVIEW"))</x:f>
        <x:v>PASS</x:v>
      </x:c>
      <x:c r="O7" s="20" t="str">
        <x:v>S6-YH-2014-LY-ANN</x:v>
      </x:c>
      <x:c r="P7" s="20" t="str">
        <x:v>PDF第5页</x:v>
      </x:c>
      <x:c r="Q7" s="20" t="str">
        <x:v>EDGE-003</x:v>
      </x:c>
    </x:row>
    <x:row r="8" ht="58" customHeight="1">
      <x:c r="A8" s="20" t="str">
        <x:v>M-301563-CE004-WHFH</x:v>
      </x:c>
      <x:c r="B8" s="44" t="str">
        <x:v>301563</x:v>
      </x:c>
      <x:c r="C8" s="20" t="str">
        <x:v>云汉芯城</x:v>
      </x:c>
      <x:c r="D8" s="20" t="str">
        <x:v>CE-004</x:v>
      </x:c>
      <x:c r="E8" s="20" t="str">
        <x:v>ENT-007</x:v>
      </x:c>
      <x:c r="F8" s="20" t="str">
        <x:v>芜湖富海浩研创业投资基金（有限合伙）</x:v>
      </x:c>
      <x:c r="G8" s="20" t="str">
        <x:v>PEVC_CONFIRMED</x:v>
      </x:c>
      <x:c r="H8" s="26" t="n">
        <x:v>0.055</x:v>
      </x:c>
      <x:c r="I8" s="33" t="n">
        <x:v>70512.5</x:v>
      </x:c>
      <x:c r="J8" s="33" t="n">
        <x:v>1282050</x:v>
      </x:c>
      <x:c r="K8" s="20" t="str">
        <x:v>注册资本（元）</x:v>
      </x:c>
      <x:c r="L8" s="26" t="n">
        <x:f>IF(AND(ISNUMBER(I8),ISNUMBER(J8)),I8/J8,"")</x:f>
        <x:v>0.054999804999805</x:v>
      </x:c>
      <x:c r="M8" s="26" t="n">
        <x:f>IF(AND(ISNUMBER(H8),ISNUMBER(L8)),L8-H8,"")</x:f>
        <x:v>-1.950001949982405e-7</x:v>
      </x:c>
      <x:c r="N8" s="20" t="str">
        <x:f>IF(M8="","NO_CALC",IF(ABS(M8)&lt;=0.00005,"PASS","REVIEW"))</x:f>
        <x:v>PASS</x:v>
      </x:c>
      <x:c r="O8" s="20" t="str">
        <x:v>S6-YH-2014-LY-ANN</x:v>
      </x:c>
      <x:c r="P8" s="20" t="str">
        <x:v>PDF第5页</x:v>
      </x:c>
      <x:c r="Q8" s="20" t="str">
        <x:v>EDGE-004</x:v>
      </x:c>
    </x:row>
    <x:row r="9" ht="58" customHeight="1">
      <x:c r="A9" s="20" t="str">
        <x:v>M-301563-CE007-FENGLI</x:v>
      </x:c>
      <x:c r="B9" s="44" t="str">
        <x:v>301563</x:v>
      </x:c>
      <x:c r="C9" s="20" t="str">
        <x:v>云汉芯城</x:v>
      </x:c>
      <x:c r="D9" s="20" t="str">
        <x:v>CE-007</x:v>
      </x:c>
      <x:c r="E9" s="20" t="str">
        <x:v>ENT-009</x:v>
      </x:c>
      <x:c r="F9" s="20" t="str">
        <x:v>丰利财富（北京）国际资本管理股份有限公司</x:v>
      </x:c>
      <x:c r="G9" s="20" t="str">
        <x:v>PEVC_RELATED</x:v>
      </x:c>
      <x:c r="H9" s="26" t="n">
        <x:v>0.016667</x:v>
      </x:c>
      <x:c r="I9" s="33" t="n">
        <x:v>359712</x:v>
      </x:c>
      <x:c r="J9" s="33" t="n">
        <x:v>21582733</x:v>
      </x:c>
      <x:c r="K9" s="20" t="str">
        <x:v>注册资本（元）</x:v>
      </x:c>
      <x:c r="L9" s="26" t="n">
        <x:f>IF(AND(ISNUMBER(I9),ISNUMBER(J9)),I9/J9,"")</x:f>
        <x:v>0.016666656627777398</x:v>
      </x:c>
      <x:c r="M9" s="26" t="n">
        <x:f>IF(AND(ISNUMBER(H9),ISNUMBER(L9)),L9-H9,"")</x:f>
        <x:v>-3.4337222260330535e-7</x:v>
      </x:c>
      <x:c r="N9" s="20" t="str">
        <x:f>IF(M9="","NO_CALC",IF(ABS(M9)&lt;=0.00005,"PASS","REVIEW"))</x:f>
        <x:v>PASS</x:v>
      </x:c>
      <x:c r="O9" s="20" t="str">
        <x:v>S6-YH-2015-FL-LEGAL</x:v>
      </x:c>
      <x:c r="P9" s="20" t="str">
        <x:v>PDF第186页</x:v>
      </x:c>
      <x:c r="Q9" s="20" t="str">
        <x:v>EDGE-006</x:v>
      </x:c>
    </x:row>
    <x:row r="10" ht="58" customHeight="1">
      <x:c r="A10" s="20" t="str">
        <x:v>M-301563-CE009-TIANJIAN</x:v>
      </x:c>
      <x:c r="B10" s="44" t="str">
        <x:v>301563</x:v>
      </x:c>
      <x:c r="C10" s="20" t="str">
        <x:v>云汉芯城</x:v>
      </x:c>
      <x:c r="D10" s="20" t="str">
        <x:v>CE-009</x:v>
      </x:c>
      <x:c r="E10" s="20" t="str">
        <x:v>ENT-013</x:v>
      </x:c>
      <x:c r="F10" s="20" t="str">
        <x:v>厦门富海天健创业投资合伙企业（有限合伙）</x:v>
      </x:c>
      <x:c r="G10" s="20" t="str">
        <x:v>PEVC_CONFIRMED</x:v>
      </x:c>
      <x:c r="H10" s="26" t="n">
        <x:v>0.0167</x:v>
      </x:c>
      <x:c r="I10" s="33" t="n">
        <x:v>666680</x:v>
      </x:c>
      <x:c r="J10" s="33" t="n">
        <x:v>40000000</x:v>
      </x:c>
      <x:c r="K10" s="20" t="str">
        <x:v>原披露数量单位</x:v>
      </x:c>
      <x:c r="L10" s="26" t="n">
        <x:f>IF(AND(ISNUMBER(I10),ISNUMBER(J10)),I10/J10,"")</x:f>
        <x:v>0.016667</x:v>
      </x:c>
      <x:c r="M10" s="26" t="n">
        <x:f>IF(AND(ISNUMBER(H10),ISNUMBER(L10)),L10-H10,"")</x:f>
        <x:v>-0.00003299999999999831</x:v>
      </x:c>
      <x:c r="N10" s="20" t="str">
        <x:f>IF(M10="","NO_CALC",IF(ABS(M10)&lt;=0.00005,"PASS","REVIEW"))</x:f>
        <x:v>PASS</x:v>
      </x:c>
      <x:c r="O10" s="20" t="str">
        <x:v>CE-009-E02</x:v>
      </x:c>
      <x:c r="P10" s="20" t="str">
        <x:v>58</x:v>
      </x:c>
      <x:c r="Q10" s="20" t="str">
        <x:v>EDGE-010</x:v>
      </x:c>
    </x:row>
    <x:row r="11" ht="58" customHeight="1">
      <x:c r="A11" s="20" t="str">
        <x:v>M-301563-CE010-GKRH</x:v>
      </x:c>
      <x:c r="B11" s="44" t="str">
        <x:v>301563</x:v>
      </x:c>
      <x:c r="C11" s="20" t="str">
        <x:v>云汉芯城</x:v>
      </x:c>
      <x:c r="D11" s="20" t="str">
        <x:v>CE-010-01</x:v>
      </x:c>
      <x:c r="E11" s="20" t="str">
        <x:v>ENT-014</x:v>
      </x:c>
      <x:c r="F11" s="20" t="str">
        <x:v>北京国科瑞华战略性新兴产业投资基金（有限合伙）</x:v>
      </x:c>
      <x:c r="G11" s="20" t="str">
        <x:v>PEVC_CONFIRMED</x:v>
      </x:c>
      <x:c r="H11" s="26" t="n">
        <x:v>0.0549</x:v>
      </x:c>
      <x:c r="I11" s="33" t="n">
        <x:v>2544787</x:v>
      </x:c>
      <x:c r="J11" s="33" t="n">
        <x:v>46350000</x:v>
      </x:c>
      <x:c r="K11" s="20" t="str">
        <x:v>原披露数量单位</x:v>
      </x:c>
      <x:c r="L11" s="26" t="n">
        <x:f>IF(AND(ISNUMBER(I11),ISNUMBER(J11)),I11/J11,"")</x:f>
        <x:v>0.054903710895361384</x:v>
      </x:c>
      <x:c r="M11" s="26" t="n">
        <x:f>IF(AND(ISNUMBER(H11),ISNUMBER(L11)),L11-H11,"")</x:f>
        <x:v>0.000003710895361386246</x:v>
      </x:c>
      <x:c r="N11" s="20" t="str">
        <x:f>IF(M11="","NO_CALC",IF(ABS(M11)&lt;=0.00005,"PASS","REVIEW"))</x:f>
        <x:v>PASS</x:v>
      </x:c>
      <x:c r="O11" s="20" t="str">
        <x:v>S5-YH-P59-60</x:v>
      </x:c>
      <x:c r="P11" s="20" t="str">
        <x:v>59-60</x:v>
      </x:c>
      <x:c r="Q11" s="20" t="str">
        <x:v>EDGE-011</x:v>
      </x:c>
    </x:row>
    <x:row r="12" ht="58" customHeight="1">
      <x:c r="A12" s="20" t="str">
        <x:v>M-301563-CE010-CASREV</x:v>
      </x:c>
      <x:c r="B12" s="44" t="str">
        <x:v>301563</x:v>
      </x:c>
      <x:c r="C12" s="20" t="str">
        <x:v>云汉芯城</x:v>
      </x:c>
      <x:c r="D12" s="20" t="str">
        <x:v>CE-010-01</x:v>
      </x:c>
      <x:c r="E12" s="20" t="str">
        <x:v>ENT-015</x:v>
      </x:c>
      <x:c r="F12" s="20" t="str">
        <x:v>CASREV FUND II-USD L.P.</x:v>
      </x:c>
      <x:c r="G12" s="20" t="str">
        <x:v>PEVC_CANDIDATE</x:v>
      </x:c>
      <x:c r="H12" s="26" t="n">
        <x:v>0.0133</x:v>
      </x:c>
      <x:c r="I12" s="33" t="n">
        <x:v>618000</x:v>
      </x:c>
      <x:c r="J12" s="33" t="n">
        <x:v>46350000</x:v>
      </x:c>
      <x:c r="K12" s="20" t="str">
        <x:v>原披露数量单位</x:v>
      </x:c>
      <x:c r="L12" s="26" t="n">
        <x:f>IF(AND(ISNUMBER(I12),ISNUMBER(J12)),I12/J12,"")</x:f>
        <x:v>0.013333333333333334</x:v>
      </x:c>
      <x:c r="M12" s="26" t="n">
        <x:f>IF(AND(ISNUMBER(H12),ISNUMBER(L12)),L12-H12,"")</x:f>
        <x:v>0.000033333333333334866</x:v>
      </x:c>
      <x:c r="N12" s="20" t="str">
        <x:f>IF(M12="","NO_CALC",IF(ABS(M12)&lt;=0.00005,"PASS","REVIEW"))</x:f>
        <x:v>PASS</x:v>
      </x:c>
      <x:c r="O12" s="20" t="str">
        <x:v>S5-YH-P59-60</x:v>
      </x:c>
      <x:c r="P12" s="20" t="str">
        <x:v>59-60</x:v>
      </x:c>
      <x:c r="Q12" s="20" t="str">
        <x:v>EDGE-012</x:v>
      </x:c>
    </x:row>
    <x:row r="13" ht="58" customHeight="1">
      <x:c r="A13" s="20" t="str">
        <x:v>M-301563-CE010-ZKGY</x:v>
      </x:c>
      <x:c r="B13" s="44" t="str">
        <x:v>301563</x:v>
      </x:c>
      <x:c r="C13" s="20" t="str">
        <x:v>云汉芯城</x:v>
      </x:c>
      <x:c r="D13" s="20" t="str">
        <x:v>CE-010-01</x:v>
      </x:c>
      <x:c r="E13" s="20" t="str">
        <x:v>ENT-016</x:v>
      </x:c>
      <x:c r="F13" s="20" t="str">
        <x:v>中科贵银（贵州）产业投资基金（有限合伙）</x:v>
      </x:c>
      <x:c r="G13" s="20" t="str">
        <x:v>PEVC_CONFIRMED</x:v>
      </x:c>
      <x:c r="H13" s="26" t="n">
        <x:v>0.0117</x:v>
      </x:c>
      <x:c r="I13" s="33" t="n">
        <x:v>543840</x:v>
      </x:c>
      <x:c r="J13" s="33" t="n">
        <x:v>46350000</x:v>
      </x:c>
      <x:c r="K13" s="20" t="str">
        <x:v>原披露数量单位</x:v>
      </x:c>
      <x:c r="L13" s="26" t="n">
        <x:f>IF(AND(ISNUMBER(I13),ISNUMBER(J13)),I13/J13,"")</x:f>
        <x:v>0.011733333333333333</x:v>
      </x:c>
      <x:c r="M13" s="26" t="n">
        <x:f>IF(AND(ISNUMBER(H13),ISNUMBER(L13)),L13-H13,"")</x:f>
        <x:v>0.00003333333333333313</x:v>
      </x:c>
      <x:c r="N13" s="20" t="str">
        <x:f>IF(M13="","NO_CALC",IF(ABS(M13)&lt;=0.00005,"PASS","REVIEW"))</x:f>
        <x:v>PASS</x:v>
      </x:c>
      <x:c r="O13" s="20" t="str">
        <x:v>S5-YH-P59-60</x:v>
      </x:c>
      <x:c r="P13" s="20" t="str">
        <x:v>59-60</x:v>
      </x:c>
      <x:c r="Q13" s="20" t="str">
        <x:v>EDGE-013</x:v>
      </x:c>
    </x:row>
    <x:row r="14" ht="58" customHeight="1">
      <x:c r="A14" s="20" t="str">
        <x:v>M-301563-CE010-NSFH</x:v>
      </x:c>
      <x:c r="B14" s="44" t="str">
        <x:v>301563</x:v>
      </x:c>
      <x:c r="C14" s="20" t="str">
        <x:v>云汉芯城</x:v>
      </x:c>
      <x:c r="D14" s="20" t="str">
        <x:v>CE-010-01</x:v>
      </x:c>
      <x:c r="E14" s="20" t="str">
        <x:v>ENT-018</x:v>
      </x:c>
      <x:c r="F14" s="20" t="str">
        <x:v>深圳南山东方富海中小微创业投资基金合伙企业（有限合伙）</x:v>
      </x:c>
      <x:c r="G14" s="20" t="str">
        <x:v>PEVC_CONFIRMED</x:v>
      </x:c>
      <x:c r="H14" s="26" t="n">
        <x:v>0.0222</x:v>
      </x:c>
      <x:c r="I14" s="33" t="n">
        <x:v>1030000</x:v>
      </x:c>
      <x:c r="J14" s="33" t="n">
        <x:v>46350000</x:v>
      </x:c>
      <x:c r="K14" s="20" t="str">
        <x:v>原披露数量单位</x:v>
      </x:c>
      <x:c r="L14" s="26" t="n">
        <x:f>IF(AND(ISNUMBER(I14),ISNUMBER(J14)),I14/J14,"")</x:f>
        <x:v>0.022222222222222223</x:v>
      </x:c>
      <x:c r="M14" s="26" t="n">
        <x:f>IF(AND(ISNUMBER(H14),ISNUMBER(L14)),L14-H14,"")</x:f>
        <x:v>0.000022222222222222088</x:v>
      </x:c>
      <x:c r="N14" s="20" t="str">
        <x:f>IF(M14="","NO_CALC",IF(ABS(M14)&lt;=0.00005,"PASS","REVIEW"))</x:f>
        <x:v>PASS</x:v>
      </x:c>
      <x:c r="O14" s="20" t="str">
        <x:v>S5-YH-P59-60</x:v>
      </x:c>
      <x:c r="P14" s="20" t="str">
        <x:v>59-60</x:v>
      </x:c>
      <x:c r="Q14" s="20" t="str">
        <x:v>EDGE-014</x:v>
      </x:c>
    </x:row>
    <x:row r="15" ht="58" customHeight="1">
      <x:c r="A15" s="20" t="str">
        <x:v>M-301563-CE010-ZHTY</x:v>
      </x:c>
      <x:c r="B15" s="44" t="str">
        <x:v>301563</x:v>
      </x:c>
      <x:c r="C15" s="20" t="str">
        <x:v>云汉芯城</x:v>
      </x:c>
      <x:c r="D15" s="20" t="str">
        <x:v>CE-010-01</x:v>
      </x:c>
      <x:c r="E15" s="20" t="str">
        <x:v>ENT-019</x:v>
      </x:c>
      <x:c r="F15" s="20" t="str">
        <x:v>珠海拓域壹号股权投资基金（有限合伙）</x:v>
      </x:c>
      <x:c r="G15" s="20" t="str">
        <x:v>PEVC_CONFIRMED</x:v>
      </x:c>
      <x:c r="H15" s="26" t="n">
        <x:v>0.0074</x:v>
      </x:c>
      <x:c r="I15" s="33" t="n">
        <x:v>343333</x:v>
      </x:c>
      <x:c r="J15" s="33" t="n">
        <x:v>46350000</x:v>
      </x:c>
      <x:c r="K15" s="20" t="str">
        <x:v>原披露数量单位</x:v>
      </x:c>
      <x:c r="L15" s="26" t="n">
        <x:f>IF(AND(ISNUMBER(I15),ISNUMBER(J15)),I15/J15,"")</x:f>
        <x:v>0.00740740021574973</x:v>
      </x:c>
      <x:c r="M15" s="26" t="n">
        <x:f>IF(AND(ISNUMBER(H15),ISNUMBER(L15)),L15-H15,"")</x:f>
        <x:v>0.000007400215749730002</x:v>
      </x:c>
      <x:c r="N15" s="20" t="str">
        <x:f>IF(M15="","NO_CALC",IF(ABS(M15)&lt;=0.00005,"PASS","REVIEW"))</x:f>
        <x:v>PASS</x:v>
      </x:c>
      <x:c r="O15" s="20" t="str">
        <x:v>S5-YH-P59-60</x:v>
      </x:c>
      <x:c r="P15" s="20" t="str">
        <x:v>59-60</x:v>
      </x:c>
      <x:c r="Q15" s="20" t="str">
        <x:v>EDGE-015</x:v>
      </x:c>
    </x:row>
    <x:row r="16" ht="58" customHeight="1">
      <x:c r="A16" s="20" t="str">
        <x:v>M-301563-CE010-FHJN</x:v>
      </x:c>
      <x:c r="B16" s="44" t="str">
        <x:v>301563</x:v>
      </x:c>
      <x:c r="C16" s="20" t="str">
        <x:v>云汉芯城</x:v>
      </x:c>
      <x:c r="D16" s="20" t="str">
        <x:v>CE-010-03</x:v>
      </x:c>
      <x:c r="E16" s="20" t="str">
        <x:v>ENT-024</x:v>
      </x:c>
      <x:c r="F16" s="20" t="str">
        <x:v>深圳东方富海节能环保创业投资基金合伙企业（有限合伙）</x:v>
      </x:c>
      <x:c r="G16" s="20" t="str">
        <x:v>PEVC_CONFIRMED</x:v>
      </x:c>
      <x:c r="H16" s="26" t="n">
        <x:v>0.0111</x:v>
      </x:c>
      <x:c r="I16" s="33" t="n">
        <x:v>515000</x:v>
      </x:c>
      <x:c r="J16" s="33" t="n">
        <x:v>46350000</x:v>
      </x:c>
      <x:c r="K16" s="20" t="str">
        <x:v>原披露数量单位</x:v>
      </x:c>
      <x:c r="L16" s="26" t="n">
        <x:f>IF(AND(ISNUMBER(I16),ISNUMBER(J16)),I16/J16,"")</x:f>
        <x:v>0.011111111111111112</x:v>
      </x:c>
      <x:c r="M16" s="26" t="n">
        <x:f>IF(AND(ISNUMBER(H16),ISNUMBER(L16)),L16-H16,"")</x:f>
        <x:v>0.000011111111111111044</x:v>
      </x:c>
      <x:c r="N16" s="20" t="str">
        <x:f>IF(M16="","NO_CALC",IF(ABS(M16)&lt;=0.00005,"PASS","REVIEW"))</x:f>
        <x:v>PASS</x:v>
      </x:c>
      <x:c r="O16" s="20" t="str">
        <x:v>S5-YH-P59-60</x:v>
      </x:c>
      <x:c r="P16" s="20" t="str">
        <x:v>59-60</x:v>
      </x:c>
      <x:c r="Q16" s="20" t="str">
        <x:v>EDGE-016</x:v>
      </x:c>
    </x:row>
    <x:row r="17" ht="58" customHeight="1">
      <x:c r="A17" s="20" t="str">
        <x:v>M-301563-CE010-LGTZ</x:v>
      </x:c>
      <x:c r="B17" s="44" t="str">
        <x:v>301563</x:v>
      </x:c>
      <x:c r="C17" s="20" t="str">
        <x:v>云汉芯城</x:v>
      </x:c>
      <x:c r="D17" s="20" t="str">
        <x:v>CE-010-03</x:v>
      </x:c>
      <x:c r="E17" s="20" t="str">
        <x:v>ENT-025</x:v>
      </x:c>
      <x:c r="F17" s="20" t="str">
        <x:v>上海临港松江股权投资基金合伙企业（有限合伙）</x:v>
      </x:c>
      <x:c r="G17" s="20" t="str">
        <x:v>PEVC_CONFIRMED</x:v>
      </x:c>
      <x:c r="H17" s="26" t="n">
        <x:v>0.0059</x:v>
      </x:c>
      <x:c r="I17" s="33" t="n">
        <x:v>274667</x:v>
      </x:c>
      <x:c r="J17" s="33" t="n">
        <x:v>46350000</x:v>
      </x:c>
      <x:c r="K17" s="20" t="str">
        <x:v>原披露数量单位</x:v>
      </x:c>
      <x:c r="L17" s="26" t="n">
        <x:f>IF(AND(ISNUMBER(I17),ISNUMBER(J17)),I17/J17,"")</x:f>
        <x:v>0.005925933117583603</x:v>
      </x:c>
      <x:c r="M17" s="26" t="n">
        <x:f>IF(AND(ISNUMBER(H17),ISNUMBER(L17)),L17-H17,"")</x:f>
        <x:v>0.00002593311758360313</x:v>
      </x:c>
      <x:c r="N17" s="20" t="str">
        <x:f>IF(M17="","NO_CALC",IF(ABS(M17)&lt;=0.00005,"PASS","REVIEW"))</x:f>
        <x:v>PASS</x:v>
      </x:c>
      <x:c r="O17" s="20" t="str">
        <x:v>S5-YH-P59-60</x:v>
      </x:c>
      <x:c r="P17" s="20" t="str">
        <x:v>59-60</x:v>
      </x:c>
      <x:c r="Q17" s="20" t="str">
        <x:v>EDGE-017</x:v>
      </x:c>
    </x:row>
    <x:row r="18" ht="58" customHeight="1">
      <x:c r="A18" s="20" t="str">
        <x:v>M-301563-CE010-HDTZ</x:v>
      </x:c>
      <x:c r="B18" s="44" t="str">
        <x:v>301563</x:v>
      </x:c>
      <x:c r="C18" s="20" t="str">
        <x:v>云汉芯城</x:v>
      </x:c>
      <x:c r="D18" s="20" t="str">
        <x:v>CE-010-03</x:v>
      </x:c>
      <x:c r="E18" s="20" t="str">
        <x:v>ENT-026</x:v>
      </x:c>
      <x:c r="F18" s="20" t="str">
        <x:v>上海鸿迪投资集团有限公司</x:v>
      </x:c>
      <x:c r="G18" s="20" t="str">
        <x:v>PEVC_CANDIDATE</x:v>
      </x:c>
      <x:c r="H18" s="26" t="n">
        <x:v>0.008</x:v>
      </x:c>
      <x:c r="I18" s="33" t="n">
        <x:v>369083</x:v>
      </x:c>
      <x:c r="J18" s="33" t="n">
        <x:v>46350000</x:v>
      </x:c>
      <x:c r="K18" s="20" t="str">
        <x:v>原披露数量单位</x:v>
      </x:c>
      <x:c r="L18" s="26" t="n">
        <x:f>IF(AND(ISNUMBER(I18),ISNUMBER(J18)),I18/J18,"")</x:f>
        <x:v>0.007962955771305286</x:v>
      </x:c>
      <x:c r="M18" s="26" t="n">
        <x:f>IF(AND(ISNUMBER(H18),ISNUMBER(L18)),L18-H18,"")</x:f>
        <x:v>-0.000037044228694714174</x:v>
      </x:c>
      <x:c r="N18" s="20" t="str">
        <x:f>IF(M18="","NO_CALC",IF(ABS(M18)&lt;=0.00005,"PASS","REVIEW"))</x:f>
        <x:v>PASS</x:v>
      </x:c>
      <x:c r="O18" s="20" t="str">
        <x:v>S5-YH-P59-60</x:v>
      </x:c>
      <x:c r="P18" s="20" t="str">
        <x:v>59-60</x:v>
      </x:c>
      <x:c r="Q18" s="20" t="str">
        <x:v>EDGE-018</x:v>
      </x:c>
    </x:row>
    <x:row r="19" ht="58" customHeight="1">
      <x:c r="A19" s="20" t="str">
        <x:v>M-301563-CE012-HJ</x:v>
      </x:c>
      <x:c r="B19" s="44" t="str">
        <x:v>301563</x:v>
      </x:c>
      <x:c r="C19" s="20" t="str">
        <x:v>云汉芯城</x:v>
      </x:c>
      <x:c r="D19" s="20" t="str">
        <x:v>CE-012</x:v>
      </x:c>
      <x:c r="E19" s="20" t="str">
        <x:v>ENT-027</x:v>
      </x:c>
      <x:c r="F19" s="20" t="str">
        <x:v>福建火炬电子科技股份有限公司</x:v>
      </x:c>
      <x:c r="G19" s="20" t="str">
        <x:v>PEVC_EXCLUDED</x:v>
      </x:c>
      <x:c r="H19" s="26" t="n">
        <x:v>0.0238</x:v>
      </x:c>
      <x:c r="I19" s="33" t="n">
        <x:v>1130488</x:v>
      </x:c>
      <x:c r="J19" s="33" t="n">
        <x:v>47480488</x:v>
      </x:c>
      <x:c r="K19" s="20" t="str">
        <x:v>原披露数量单位</x:v>
      </x:c>
      <x:c r="L19" s="26" t="n">
        <x:f>IF(AND(ISNUMBER(I19),ISNUMBER(J19)),I19/J19,"")</x:f>
        <x:v>0.023809527821196785</x:v>
      </x:c>
      <x:c r="M19" s="26" t="n">
        <x:f>IF(AND(ISNUMBER(H19),ISNUMBER(L19)),L19-H19,"")</x:f>
        <x:v>0.000009527821196782943</x:v>
      </x:c>
      <x:c r="N19" s="20" t="str">
        <x:f>IF(M19="","NO_CALC",IF(ABS(M19)&lt;=0.00005,"PASS","REVIEW"))</x:f>
        <x:v>PASS</x:v>
      </x:c>
      <x:c r="O19" s="20" t="str">
        <x:v>S5-YH-P61-62</x:v>
      </x:c>
      <x:c r="P19" s="20" t="str">
        <x:v>61-62</x:v>
      </x:c>
      <x:c r="Q19" s="20" t="str">
        <x:v>EDGE-019</x:v>
      </x:c>
    </x:row>
    <x:row r="20" ht="58" customHeight="1">
      <x:c r="A20" s="20" t="str">
        <x:v>M-301563-CE013-XIDI</x:v>
      </x:c>
      <x:c r="B20" s="44" t="str">
        <x:v>301563</x:v>
      </x:c>
      <x:c r="C20" s="20" t="str">
        <x:v>云汉芯城</x:v>
      </x:c>
      <x:c r="D20" s="20" t="str">
        <x:v>CE-013-01</x:v>
      </x:c>
      <x:c r="E20" s="20" t="str">
        <x:v>ENT-028</x:v>
      </x:c>
      <x:c r="F20" s="20" t="str">
        <x:v>厦门西堤拾贰投资合伙企业（有限合伙）</x:v>
      </x:c>
      <x:c r="G20" s="20" t="str">
        <x:v>PEVC_CANDIDATE</x:v>
      </x:c>
      <x:c r="H20" s="26" t="n">
        <x:v>0.0198</x:v>
      </x:c>
      <x:c r="I20" s="33" t="n">
        <x:v>968990</x:v>
      </x:c>
      <x:c r="J20" s="33" t="n">
        <x:v>48837074</x:v>
      </x:c>
      <x:c r="K20" s="20" t="str">
        <x:v>原披露数量单位</x:v>
      </x:c>
      <x:c r="L20" s="26" t="n">
        <x:f>IF(AND(ISNUMBER(I20),ISNUMBER(J20)),I20/J20,"")</x:f>
        <x:v>0.019841278779314256</x:v>
      </x:c>
      <x:c r="M20" s="26" t="n">
        <x:f>IF(AND(ISNUMBER(H20),ISNUMBER(L20)),L20-H20,"")</x:f>
        <x:v>0.00004127877931425425</x:v>
      </x:c>
      <x:c r="N20" s="20" t="str">
        <x:f>IF(M20="","NO_CALC",IF(ABS(M20)&lt;=0.00005,"PASS","REVIEW"))</x:f>
        <x:v>PASS</x:v>
      </x:c>
      <x:c r="O20" s="20" t="str">
        <x:v>S5-YH-P63-64</x:v>
      </x:c>
      <x:c r="P20" s="20" t="str">
        <x:v>63-64</x:v>
      </x:c>
      <x:c r="Q20" s="20" t="str">
        <x:v>EDGE-020</x:v>
      </x:c>
    </x:row>
    <x:row r="21" ht="58" customHeight="1">
      <x:c r="A21" s="20" t="str">
        <x:v>M-301563-CE013-SMEFUND</x:v>
      </x:c>
      <x:c r="B21" s="44" t="str">
        <x:v>301563</x:v>
      </x:c>
      <x:c r="C21" s="20" t="str">
        <x:v>云汉芯城</x:v>
      </x:c>
      <x:c r="D21" s="20" t="str">
        <x:v>CE-013-01</x:v>
      </x:c>
      <x:c r="E21" s="20" t="str">
        <x:v>ENT-029</x:v>
      </x:c>
      <x:c r="F21" s="20" t="str">
        <x:v>中小企业发展基金（深圳南山有限合伙）</x:v>
      </x:c>
      <x:c r="G21" s="20" t="str">
        <x:v>PEVC_CONFIRMED</x:v>
      </x:c>
      <x:c r="H21" s="26" t="n">
        <x:v>0.0079</x:v>
      </x:c>
      <x:c r="I21" s="33" t="n">
        <x:v>387596</x:v>
      </x:c>
      <x:c r="J21" s="33" t="n">
        <x:v>48837074</x:v>
      </x:c>
      <x:c r="K21" s="20" t="str">
        <x:v>原披露数量单位</x:v>
      </x:c>
      <x:c r="L21" s="26" t="n">
        <x:f>IF(AND(ISNUMBER(I21),ISNUMBER(J21)),I21/J21,"")</x:f>
        <x:v>0.007936511511725702</x:v>
      </x:c>
      <x:c r="M21" s="26" t="n">
        <x:f>IF(AND(ISNUMBER(H21),ISNUMBER(L21)),L21-H21,"")</x:f>
        <x:v>0.00003651151172570123</x:v>
      </x:c>
      <x:c r="N21" s="20" t="str">
        <x:f>IF(M21="","NO_CALC",IF(ABS(M21)&lt;=0.00005,"PASS","REVIEW"))</x:f>
        <x:v>PASS</x:v>
      </x:c>
      <x:c r="O21" s="20" t="str">
        <x:v>S5-YH-P63-64</x:v>
      </x:c>
      <x:c r="P21" s="20" t="str">
        <x:v>63-64</x:v>
      </x:c>
      <x:c r="Q21" s="20" t="str">
        <x:v>EDGE-021</x:v>
      </x:c>
    </x:row>
    <x:row r="22" ht="58" customHeight="1">
      <x:c r="A22" s="20" t="str">
        <x:v>M-301563-CE013-FJKJ</x:v>
      </x:c>
      <x:c r="B22" s="44" t="str">
        <x:v>301563</x:v>
      </x:c>
      <x:c r="C22" s="20" t="str">
        <x:v>云汉芯城</x:v>
      </x:c>
      <x:c r="D22" s="20" t="str">
        <x:v>CE-013-02</x:v>
      </x:c>
      <x:c r="E22" s="20" t="str">
        <x:v>ENT-031</x:v>
      </x:c>
      <x:c r="F22" s="20" t="str">
        <x:v>福建开京集团有限责任公司</x:v>
      </x:c>
      <x:c r="G22" s="20" t="str">
        <x:v>PEVC_UNRESOLVED</x:v>
      </x:c>
      <x:c r="H22" s="26" t="n">
        <x:v>0.0024</x:v>
      </x:c>
      <x:c r="I22" s="33" t="n">
        <x:v>116280</x:v>
      </x:c>
      <x:c r="J22" s="33" t="n">
        <x:v>48837074</x:v>
      </x:c>
      <x:c r="K22" s="20" t="str">
        <x:v>原披露数量单位</x:v>
      </x:c>
      <x:c r="L22" s="26" t="n">
        <x:f>IF(AND(ISNUMBER(I22),ISNUMBER(J22)),I22/J22,"")</x:f>
        <x:v>0.002380978025014357</x:v>
      </x:c>
      <x:c r="M22" s="26" t="n">
        <x:f>IF(AND(ISNUMBER(H22),ISNUMBER(L22)),L22-H22,"")</x:f>
        <x:v>-0.00001902197498564271</x:v>
      </x:c>
      <x:c r="N22" s="20" t="str">
        <x:f>IF(M22="","NO_CALC",IF(ABS(M22)&lt;=0.00005,"PASS","REVIEW"))</x:f>
        <x:v>PASS</x:v>
      </x:c>
      <x:c r="O22" s="20" t="str">
        <x:v>S5-YH-P63-64</x:v>
      </x:c>
      <x:c r="P22" s="20" t="str">
        <x:v>63-64</x:v>
      </x:c>
      <x:c r="Q22" s="20" t="str">
        <x:v>EDGE-022</x:v>
      </x:c>
    </x:row>
    <x:row r="23" ht="58" customHeight="1">
      <x:c r="A23" s="20" t="str">
        <x:v>M-301563-CE013-XYJY</x:v>
      </x:c>
      <x:c r="B23" s="44" t="str">
        <x:v>301563</x:v>
      </x:c>
      <x:c r="C23" s="20" t="str">
        <x:v>云汉芯城</x:v>
      </x:c>
      <x:c r="D23" s="20" t="str">
        <x:v>CE-013-02</x:v>
      </x:c>
      <x:c r="E23" s="20" t="str">
        <x:v>ENT-036</x:v>
      </x:c>
      <x:c r="F23" s="20" t="str">
        <x:v>萍乡市湘裕君源企业管理中心（有限合伙）</x:v>
      </x:c>
      <x:c r="G23" s="20" t="str">
        <x:v>PEVC_UNRESOLVED</x:v>
      </x:c>
      <x:c r="H23" s="26" t="n">
        <x:v>0.0058</x:v>
      </x:c>
      <x:c r="I23" s="33" t="n">
        <x:v>285000</x:v>
      </x:c>
      <x:c r="J23" s="33" t="n">
        <x:v>48837074</x:v>
      </x:c>
      <x:c r="K23" s="20" t="str">
        <x:v>原披露数量单位</x:v>
      </x:c>
      <x:c r="L23" s="26" t="n">
        <x:f>IF(AND(ISNUMBER(I23),ISNUMBER(J23)),I23/J23,"")</x:f>
        <x:v>0.005835730453466561</x:v>
      </x:c>
      <x:c r="M23" s="26" t="n">
        <x:f>IF(AND(ISNUMBER(H23),ISNUMBER(L23)),L23-H23,"")</x:f>
        <x:v>0.000035730453466561486</x:v>
      </x:c>
      <x:c r="N23" s="20" t="str">
        <x:f>IF(M23="","NO_CALC",IF(ABS(M23)&lt;=0.00005,"PASS","REVIEW"))</x:f>
        <x:v>PASS</x:v>
      </x:c>
      <x:c r="O23" s="20" t="str">
        <x:v>S5-YH-P63-64</x:v>
      </x:c>
      <x:c r="P23" s="20" t="str">
        <x:v>63-64</x:v>
      </x:c>
      <x:c r="Q23" s="20" t="str">
        <x:v>EDGE-023</x:v>
      </x:c>
    </x:row>
    <x:row r="24" ht="58" customHeight="1">
      <x:c r="A24" s="20" t="str">
        <x:v>M-301563-CE005-LIYUAN</x:v>
      </x:c>
      <x:c r="B24" s="44" t="str">
        <x:v>301563</x:v>
      </x:c>
      <x:c r="C24" s="20" t="str">
        <x:v>云汉芯城</x:v>
      </x:c>
      <x:c r="D24" s="20" t="str">
        <x:v>CE-005</x:v>
      </x:c>
      <x:c r="E24" s="20" t="str">
        <x:v>ENT-005</x:v>
      </x:c>
      <x:c r="F24" s="20" t="str">
        <x:v>武汉力源信息技术股份有限公司</x:v>
      </x:c>
      <x:c r="G24" s="20" t="str">
        <x:v>PEVC_EXCLUDED</x:v>
      </x:c>
      <x:c r="H24" s="26" t="n">
        <x:v>0.135</x:v>
      </x:c>
      <x:c r="I24" s="33" t="n">
        <x:v>184932</x:v>
      </x:c>
      <x:c r="J24" s="33" t="n">
        <x:v>1369864</x:v>
      </x:c>
      <x:c r="K24" s="20" t="str">
        <x:v>注册资本（元）</x:v>
      </x:c>
      <x:c r="L24" s="26" t="n">
        <x:f>IF(AND(ISNUMBER(I24),ISNUMBER(J24)),I24/J24,"")</x:f>
        <x:v>0.13500026279981078</x:v>
      </x:c>
      <x:c r="M24" s="26" t="n">
        <x:f>IF(AND(ISNUMBER(H24),ISNUMBER(L24)),L24-H24,"")</x:f>
        <x:v>2.6279981077403924e-7</x:v>
      </x:c>
      <x:c r="N24" s="20" t="str">
        <x:f>IF(M24="","NO_CALC",IF(ABS(M24)&lt;=0.00005,"PASS","REVIEW"))</x:f>
        <x:v>PASS</x:v>
      </x:c>
      <x:c r="O24" s="20" t="str">
        <x:v>S6-YH-2014-LY-ANN</x:v>
      </x:c>
      <x:c r="P24" s="20" t="str">
        <x:v>PDF第5页</x:v>
      </x:c>
      <x:c r="Q24" s="20" t="str">
        <x:v>EDGE-038</x:v>
      </x:c>
    </x:row>
    <x:row r="25" ht="58" customHeight="1">
      <x:c r="A25" s="20" t="str">
        <x:v>M-301563-CE005-DFH</x:v>
      </x:c>
      <x:c r="B25" s="44" t="str">
        <x:v>301563</x:v>
      </x:c>
      <x:c r="C25" s="20" t="str">
        <x:v>云汉芯城</x:v>
      </x:c>
      <x:c r="D25" s="20" t="str">
        <x:v>CE-005</x:v>
      </x:c>
      <x:c r="E25" s="20" t="str">
        <x:v>ENT-006</x:v>
      </x:c>
      <x:c r="F25" s="20" t="str">
        <x:v>东方富海（上海）创业投资企业（有限合伙）</x:v>
      </x:c>
      <x:c r="G25" s="20" t="str">
        <x:v>PEVC_CONFIRMED</x:v>
      </x:c>
      <x:c r="H25" s="26" t="n">
        <x:v>0.0675</x:v>
      </x:c>
      <x:c r="I25" s="33" t="n">
        <x:v>92466</x:v>
      </x:c>
      <x:c r="J25" s="33" t="n">
        <x:v>1369864</x:v>
      </x:c>
      <x:c r="K25" s="20" t="str">
        <x:v>注册资本（元）</x:v>
      </x:c>
      <x:c r="L25" s="26" t="n">
        <x:f>IF(AND(ISNUMBER(I25),ISNUMBER(J25)),I25/J25,"")</x:f>
        <x:v>0.06750013139990539</x:v>
      </x:c>
      <x:c r="M25" s="26" t="n">
        <x:f>IF(AND(ISNUMBER(H25),ISNUMBER(L25)),L25-H25,"")</x:f>
        <x:v>1.3139990538701962e-7</x:v>
      </x:c>
      <x:c r="N25" s="20" t="str">
        <x:f>IF(M25="","NO_CALC",IF(ABS(M25)&lt;=0.00005,"PASS","REVIEW"))</x:f>
        <x:v>PASS</x:v>
      </x:c>
      <x:c r="O25" s="20" t="str">
        <x:v>S6-YH-2014-LY-ANN</x:v>
      </x:c>
      <x:c r="P25" s="20" t="str">
        <x:v>PDF第5页</x:v>
      </x:c>
      <x:c r="Q25" s="20" t="str">
        <x:v>EDGE-039</x:v>
      </x:c>
    </x:row>
    <x:row r="26" ht="58" customHeight="1">
      <x:c r="A26" s="20" t="str">
        <x:v>M-301563-CE005-WHFH</x:v>
      </x:c>
      <x:c r="B26" s="44" t="str">
        <x:v>301563</x:v>
      </x:c>
      <x:c r="C26" s="20" t="str">
        <x:v>云汉芯城</x:v>
      </x:c>
      <x:c r="D26" s="20" t="str">
        <x:v>CE-005</x:v>
      </x:c>
      <x:c r="E26" s="20" t="str">
        <x:v>ENT-007</x:v>
      </x:c>
      <x:c r="F26" s="20" t="str">
        <x:v>芜湖富海浩研创业投资基金（有限合伙）</x:v>
      </x:c>
      <x:c r="G26" s="20" t="str">
        <x:v>PEVC_CONFIRMED</x:v>
      </x:c>
      <x:c r="H26" s="26" t="n">
        <x:v>0.0675</x:v>
      </x:c>
      <x:c r="I26" s="33" t="n">
        <x:v>92466</x:v>
      </x:c>
      <x:c r="J26" s="33" t="n">
        <x:v>1369864</x:v>
      </x:c>
      <x:c r="K26" s="20" t="str">
        <x:v>注册资本（元）</x:v>
      </x:c>
      <x:c r="L26" s="26" t="n">
        <x:f>IF(AND(ISNUMBER(I26),ISNUMBER(J26)),I26/J26,"")</x:f>
        <x:v>0.06750013139990539</x:v>
      </x:c>
      <x:c r="M26" s="26" t="n">
        <x:f>IF(AND(ISNUMBER(H26),ISNUMBER(L26)),L26-H26,"")</x:f>
        <x:v>1.3139990538701962e-7</x:v>
      </x:c>
      <x:c r="N26" s="20" t="str">
        <x:f>IF(M26="","NO_CALC",IF(ABS(M26)&lt;=0.00005,"PASS","REVIEW"))</x:f>
        <x:v>PASS</x:v>
      </x:c>
      <x:c r="O26" s="20" t="str">
        <x:v>S6-YH-2014-LY-ANN</x:v>
      </x:c>
      <x:c r="P26" s="20" t="str">
        <x:v>PDF第5页</x:v>
      </x:c>
      <x:c r="Q26" s="20" t="str">
        <x:v>EDGE-040</x:v>
      </x:c>
    </x:row>
    <x:row r="27" ht="58" customHeight="1">
      <x:c r="A27" s="20" t="str">
        <x:v>M-301563-CE010-XIADONG</x:v>
      </x:c>
      <x:c r="B27" s="44" t="str">
        <x:v>301563</x:v>
      </x:c>
      <x:c r="C27" s="20" t="str">
        <x:v>云汉芯城</x:v>
      </x:c>
      <x:c r="D27" s="20" t="str">
        <x:v>CE-010-01</x:v>
      </x:c>
      <x:c r="E27" s="20" t="str">
        <x:v>ENT-017</x:v>
      </x:c>
      <x:c r="F27" s="20" t="str">
        <x:v>夏东</x:v>
      </x:c>
      <x:c r="G27" s="20" t="str">
        <x:v>PEVC_EXCLUDED</x:v>
      </x:c>
      <x:c r="H27" s="26" t="n">
        <x:v>0.0015</x:v>
      </x:c>
      <x:c r="I27" s="33" t="n">
        <x:v>70040</x:v>
      </x:c>
      <x:c r="J27" s="33" t="n">
        <x:v>46350000</x:v>
      </x:c>
      <x:c r="K27" s="20" t="str">
        <x:v>原披露数量单位</x:v>
      </x:c>
      <x:c r="L27" s="26" t="n">
        <x:f>IF(AND(ISNUMBER(I27),ISNUMBER(J27)),I27/J27,"")</x:f>
        <x:v>0.001511111111111111</x:v>
      </x:c>
      <x:c r="M27" s="26" t="n">
        <x:f>IF(AND(ISNUMBER(H27),ISNUMBER(L27)),L27-H27,"")</x:f>
        <x:v>0.000011111111111111044</x:v>
      </x:c>
      <x:c r="N27" s="20" t="str">
        <x:f>IF(M27="","NO_CALC",IF(ABS(M27)&lt;=0.00005,"PASS","REVIEW"))</x:f>
        <x:v>PASS</x:v>
      </x:c>
      <x:c r="O27" s="20" t="str">
        <x:v>S5-YH-P59-60</x:v>
      </x:c>
      <x:c r="P27" s="20" t="str">
        <x:v>59-60</x:v>
      </x:c>
      <x:c r="Q27" s="20" t="str">
        <x:v>EDGE-050</x:v>
      </x:c>
    </x:row>
    <x:row r="28" ht="58" customHeight="1">
      <x:c r="A28" s="20" t="str">
        <x:v>M-603418-202009-JPKC</x:v>
      </x:c>
      <x:c r="B28" s="44" t="str">
        <x:v>603418</x:v>
      </x:c>
      <x:c r="C28" s="20" t="str">
        <x:v>友升股份</x:v>
      </x:c>
      <x:c r="D28" s="20" t="str">
        <x:v>EVT-603418-0003</x:v>
      </x:c>
      <x:c r="E28" s="20" t="str">
        <x:v>INV-603418-0010</x:v>
      </x:c>
      <x:c r="F28" s="20" t="str">
        <x:v>金浦科创基金</x:v>
      </x:c>
      <x:c r="G28" s="20" t="str">
        <x:v>PEVC_CONFIRMED</x:v>
      </x:c>
      <x:c r="H28" s="26" t="n">
        <x:v>0.0269</x:v>
      </x:c>
      <x:c r="I28" s="33" t="n">
        <x:v>360</x:v>
      </x:c>
      <x:c r="J28" s="33" t="n">
        <x:v>13380</x:v>
      </x:c>
      <x:c r="K28" s="20" t="str">
        <x:v>原披露数量单位</x:v>
      </x:c>
      <x:c r="L28" s="26" t="n">
        <x:f>IF(AND(ISNUMBER(I28),ISNUMBER(J28)),I28/J28,"")</x:f>
        <x:v>0.026905829596412557</x:v>
      </x:c>
      <x:c r="M28" s="26" t="n">
        <x:f>IF(AND(ISNUMBER(H28),ISNUMBER(L28)),L28-H28,"")</x:f>
        <x:v>0.000005829596412557092</x:v>
      </x:c>
      <x:c r="N28" s="20" t="str">
        <x:f>IF(M28="","NO_CALC",IF(ABS(M28)&lt;=0.00005,"PASS","REVIEW"))</x:f>
        <x:v>PASS</x:v>
      </x:c>
      <x:c r="O28" s="20" t="str">
        <x:v>EVD-603418-0004-01</x:v>
      </x:c>
      <x:c r="P28" s="20" t="str">
        <x:v>44</x:v>
      </x:c>
      <x:c r="Q28" s="20" t="str">
        <x:v>PATH-603418-00006-E01</x:v>
      </x:c>
    </x:row>
    <x:row r="29" ht="58" customHeight="1">
      <x:c r="A29" s="20" t="str">
        <x:v>M-603418-202009-JPLG</x:v>
      </x:c>
      <x:c r="B29" s="44" t="str">
        <x:v>603418</x:v>
      </x:c>
      <x:c r="C29" s="20" t="str">
        <x:v>友升股份</x:v>
      </x:c>
      <x:c r="D29" s="20" t="str">
        <x:v>EVT-603418-0003</x:v>
      </x:c>
      <x:c r="E29" s="20" t="str">
        <x:v>INV-603418-0009</x:v>
      </x:c>
      <x:c r="F29" s="20" t="str">
        <x:v>金浦临港基金</x:v>
      </x:c>
      <x:c r="G29" s="20" t="str">
        <x:v>PEVC_CONFIRMED</x:v>
      </x:c>
      <x:c r="H29" s="26" t="n">
        <x:v>0.0628</x:v>
      </x:c>
      <x:c r="I29" s="33" t="n">
        <x:v>840</x:v>
      </x:c>
      <x:c r="J29" s="33" t="n">
        <x:v>13380</x:v>
      </x:c>
      <x:c r="K29" s="20" t="str">
        <x:v>原披露数量单位</x:v>
      </x:c>
      <x:c r="L29" s="26" t="n">
        <x:f>IF(AND(ISNUMBER(I29),ISNUMBER(J29)),I29/J29,"")</x:f>
        <x:v>0.06278026905829596</x:v>
      </x:c>
      <x:c r="M29" s="26" t="n">
        <x:f>IF(AND(ISNUMBER(H29),ISNUMBER(L29)),L29-H29,"")</x:f>
        <x:v>-0.00001973094170402978</x:v>
      </x:c>
      <x:c r="N29" s="20" t="str">
        <x:f>IF(M29="","NO_CALC",IF(ABS(M29)&lt;=0.00005,"PASS","REVIEW"))</x:f>
        <x:v>PASS</x:v>
      </x:c>
      <x:c r="O29" s="20" t="str">
        <x:v>EVD-603418-0004-01</x:v>
      </x:c>
      <x:c r="P29" s="20" t="str">
        <x:v>44</x:v>
      </x:c>
      <x:c r="Q29" s="20" t="str">
        <x:v>PATH-603418-00007-E01</x:v>
      </x:c>
    </x:row>
    <x:row r="30" ht="58" customHeight="1">
      <x:c r="A30" s="20" t="str">
        <x:v>M-920100-2022-WZJM</x:v>
      </x:c>
      <x:c r="B30" s="44" t="str">
        <x:v>920100</x:v>
      </x:c>
      <x:c r="C30" s="20" t="str">
        <x:v>三协电机</x:v>
      </x:c>
      <x:c r="D30" s="20" t="str">
        <x:v>W7-OVR-920100-2022-DI</x:v>
      </x:c>
      <x:c r="E30" s="20" t="str">
        <x:v>STD-920100-PEVC-001</x:v>
      </x:c>
      <x:c r="F30" s="20" t="str">
        <x:v>稳正景明</x:v>
      </x:c>
      <x:c r="G30" s="20" t="str">
        <x:v>PEVC_CONFIRMED</x:v>
      </x:c>
      <x:c r="H30" s="26" t="n">
        <x:v>0.099909</x:v>
      </x:c>
      <x:c r="I30" s="33" t="n">
        <x:v>3526786</x:v>
      </x:c>
      <x:c r="J30" s="33" t="n">
        <x:v>35300000</x:v>
      </x:c>
      <x:c r="K30" s="20" t="str">
        <x:v>股份（股）</x:v>
      </x:c>
      <x:c r="L30" s="26" t="n">
        <x:f>IF(AND(ISNUMBER(I30),ISNUMBER(J30)),I30/J30,"")</x:f>
        <x:v>0.09990895184135977</x:v>
      </x:c>
      <x:c r="M30" s="26" t="n">
        <x:f>IF(AND(ISNUMBER(H30),ISNUMBER(L30)),L30-H30,"")</x:f>
        <x:v>-4.815864022844618e-8</x:v>
      </x:c>
      <x:c r="N30" s="20" t="str">
        <x:f>IF(M30="","NO_CALC",IF(ABS(M30)&lt;=0.00005,"PASS","REVIEW"))</x:f>
        <x:v>PASS</x:v>
      </x:c>
      <x:c r="O30" s="20" t="str">
        <x:v>S6-SX-2023-H1</x:v>
      </x:c>
      <x:c r="P30" s="20" t="str">
        <x:v>PDF第28、124页</x:v>
      </x:c>
      <x:c r="Q30" s="20" t="str">
        <x:v>SUP-EDGE-920100-2022-001</x:v>
      </x:c>
    </x:row>
    <x:row r="31" ht="58" customHeight="1">
      <x:c r="A31" s="21" t="str">
        <x:v>M-920100-2022-WZCZ</x:v>
      </x:c>
      <x:c r="B31" s="45" t="str">
        <x:v>920100</x:v>
      </x:c>
      <x:c r="C31" s="21" t="str">
        <x:v>三协电机</x:v>
      </x:c>
      <x:c r="D31" s="21" t="str">
        <x:v>W7-OVR-920100-2022-DI</x:v>
      </x:c>
      <x:c r="E31" s="21" t="str">
        <x:v>STD-920100-PEVC-002</x:v>
      </x:c>
      <x:c r="F31" s="21" t="str">
        <x:v>长泽创投</x:v>
      </x:c>
      <x:c r="G31" s="21" t="str">
        <x:v>PEVC_CONFIRMED</x:v>
      </x:c>
      <x:c r="H31" s="31" t="n">
        <x:v>0.050233</x:v>
      </x:c>
      <x:c r="I31" s="34" t="n">
        <x:v>1773214</x:v>
      </x:c>
      <x:c r="J31" s="34" t="n">
        <x:v>35300000</x:v>
      </x:c>
      <x:c r="K31" s="21" t="str">
        <x:v>股份（股）</x:v>
      </x:c>
      <x:c r="L31" s="31" t="n">
        <x:f>IF(AND(ISNUMBER(I31),ISNUMBER(J31)),I31/J31,"")</x:f>
        <x:v>0.05023269121813031</x:v>
      </x:c>
      <x:c r="M31" s="31" t="n">
        <x:f>IF(AND(ISNUMBER(H31),ISNUMBER(L31)),L31-H31,"")</x:f>
        <x:v>-3.087818696914657e-7</x:v>
      </x:c>
      <x:c r="N31" s="21" t="str">
        <x:f>IF(M31="","NO_CALC",IF(ABS(M31)&lt;=0.00005,"PASS","REVIEW"))</x:f>
        <x:v>PASS</x:v>
      </x:c>
      <x:c r="O31" s="21" t="str">
        <x:v>S6-SX-2023-H1</x:v>
      </x:c>
      <x:c r="P31" s="21" t="str">
        <x:v>PDF第28、124页</x:v>
      </x:c>
      <x:c r="Q31" s="21" t="str">
        <x:v>SUP-EDGE-920100-2022-002</x:v>
      </x:c>
    </x:row>
  </x:sheetData>
  <x:mergeCells>
    <x:mergeCell ref="A1:Q1"/>
    <x:mergeCell ref="A2:Q2"/>
  </x:mergeCells>
  <x:conditionalFormatting sqref="N5:N31">
    <x:cfRule type="containsText" dxfId="3" priority="1" operator="containsText" text="PASS"/>
    <x:cfRule type="containsText" dxfId="4" priority="2" operator="containsText" text="REVIEW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7" hidden="0" customWidth="1"/>
    <x:col min="4" max="4" width="18" hidden="0" customWidth="1"/>
    <x:col min="5" max="5" width="60" hidden="0" customWidth="1"/>
    <x:col min="6" max="6" width="28" hidden="0" customWidth="1"/>
    <x:col min="7" max="7" width="110" hidden="0" customWidth="1"/>
    <x:col min="8" max="8" width="42" hidden="0" customWidth="1"/>
    <x:col min="9" max="9" width="100" hidden="0" customWidth="1"/>
    <x:col min="10" max="10" width="72" hidden="0" customWidth="1"/>
  </x:cols>
  <x:sheetData>
    <x:row r="1" ht="30" customHeight="1">
      <x:c r="A1" s="3" t="str">
        <x:v>Stage 6原始披露证据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2" customHeight="1">
      <x:c r="A2" s="7" t="str">
        <x:v>公开链接、文档时点、页码和采用范围均保留；第四条仅作交叉佐证。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6" customHeight="1">
      <x:c r="A4" s="11" t="str">
        <x:v>证据ID</x:v>
      </x:c>
      <x:c r="B4" s="11" t="str">
        <x:v>公司ID</x:v>
      </x:c>
      <x:c r="C4" s="11" t="str">
        <x:v>公司名称</x:v>
      </x:c>
      <x:c r="D4" s="11" t="str">
        <x:v>披露日期</x:v>
      </x:c>
      <x:c r="E4" s="11" t="str">
        <x:v>文档</x:v>
      </x:c>
      <x:c r="F4" s="11" t="str">
        <x:v>页码</x:v>
      </x:c>
      <x:c r="G4" s="11" t="str">
        <x:v>关键内容</x:v>
      </x:c>
      <x:c r="H4" s="11" t="str">
        <x:v>证据等级</x:v>
      </x:c>
      <x:c r="I4" s="11" t="str">
        <x:v>公开链接</x:v>
      </x:c>
      <x:c r="J4" s="11" t="str">
        <x:v>采用结果</x:v>
      </x:c>
    </x:row>
    <x:row r="5" ht="86" customHeight="1">
      <x:c r="A5" s="19" t="str">
        <x:v>S6-YH-2014-LY-ANN</x:v>
      </x:c>
      <x:c r="B5" s="43" t="str">
        <x:v>301563</x:v>
      </x:c>
      <x:c r="C5" s="19" t="str">
        <x:v>云汉芯城</x:v>
      </x:c>
      <x:c r="D5" s="19" t="str">
        <x:v>2014-06-14</x:v>
      </x:c>
      <x:c r="E5" s="19" t="str">
        <x:v>力源信息参股（增资）上海云汉公告</x:v>
      </x:c>
      <x:c r="F5" s="19" t="str">
        <x:v>PDF第2、5页</x:v>
      </x:c>
      <x:c r="G5" s="19" t="str">
        <x:v>首次共同增资：力源11%、东方富海5.5%、富海浩研5.5%；第二次完成后分别13.5%、6.75%、6.75%，并列示注册资本分子与总额。</x:v>
      </x:c>
      <x:c r="H5" s="19" t="str">
        <x:v>ORIGINAL_LISTED_COMPANY_DISCLOSURE</x:v>
      </x:c>
      <x:c r="I5" s="19" t="str">
        <x:v>https://pdf.dfcfw.com/pdf/H2_AN201406130006063467_01.PDF</x:v>
      </x:c>
      <x:c r="J5" s="19" t="str">
        <x:v>采用；恢复CE-004、CE-005共9条路径行/6条唯一测量</x:v>
      </x:c>
    </x:row>
    <x:row r="6" ht="86" customHeight="1">
      <x:c r="A6" s="20" t="str">
        <x:v>S6-YH-2015-FL-LEGAL</x:v>
      </x:c>
      <x:c r="B6" s="44" t="str">
        <x:v>301563</x:v>
      </x:c>
      <x:c r="C6" s="20" t="str">
        <x:v>云汉芯城</x:v>
      </x:c>
      <x:c r="D6" s="20" t="str">
        <x:v>2023-09</x:v>
      </x:c>
      <x:c r="E6" s="20" t="str">
        <x:v>发行人律师关于首次公开发行并在创业板上市的法律意见书</x:v>
      </x:c>
      <x:c r="F6" s="20" t="str">
        <x:v>PDF第186页（正文3-3-1-186）</x:v>
      </x:c>
      <x:c r="G6" s="20" t="str">
        <x:v>丰利财富以1,000万元认缴35.9712万元注册资本，该次增资后持股1.6667%。</x:v>
      </x:c>
      <x:c r="H6" s="20" t="str">
        <x:v>ORIGINAL_LEGAL_OPINION</x:v>
      </x:c>
      <x:c r="I6" s="20" t="str">
        <x:v>https://reportdocs.static.szse.cn/UpFiles/rasinfodisc1/202309/RAS_202309_C088B783670C4B528D0ED4F6BA02DE7E.pdf</x:v>
      </x:c>
      <x:c r="J6" s="20" t="str">
        <x:v>采用；恢复CE-007丰利财富3条路径行/1条唯一测量</x:v>
      </x:c>
    </x:row>
    <x:row r="7" ht="86" customHeight="1">
      <x:c r="A7" s="20" t="str">
        <x:v>S6-SX-2023-H1</x:v>
      </x:c>
      <x:c r="B7" s="44" t="str">
        <x:v>920100</x:v>
      </x:c>
      <x:c r="C7" s="20" t="str">
        <x:v>三协电机</x:v>
      </x:c>
      <x:c r="D7" s="20" t="str">
        <x:v>2023-12-14</x:v>
      </x:c>
      <x:c r="E7" s="20" t="str">
        <x:v>2023年半年度报告（更正后）</x:v>
      </x:c>
      <x:c r="F7" s="20" t="str">
        <x:v>PDF第28、124页</x:v>
      </x:c>
      <x:c r="G7" s="20" t="str">
        <x:v>2022年定向发行530万股：稳正景明3,526,786股、稳正长泽1,773,214股；发行后总股本35,300,000股；披露比例9.9909%、5.0233%。</x:v>
      </x:c>
      <x:c r="H7" s="20" t="str">
        <x:v>ORIGINAL_ISSUER_PERIODIC_REPORT</x:v>
      </x:c>
      <x:c r="I7" s="20" t="str">
        <x:v>https://pdf.dfcfw.com/pdf/H2_AN202312141614146342_1.pdf?1702579350000.pdf=</x:v>
      </x:c>
      <x:c r="J7" s="20" t="str">
        <x:v>采用；恢复三协2条路径行/2条唯一测量</x:v>
      </x:c>
    </x:row>
    <x:row r="8" ht="86" customHeight="1">
      <x:c r="A8" s="21" t="str">
        <x:v>S6-SX-2022-AR</x:v>
      </x:c>
      <x:c r="B8" s="45" t="str">
        <x:v>920100</x:v>
      </x:c>
      <x:c r="C8" s="21" t="str">
        <x:v>三协电机</x:v>
      </x:c>
      <x:c r="D8" s="21" t="str">
        <x:v>2023</x:v>
      </x:c>
      <x:c r="E8" s="21" t="str">
        <x:v>2022年年度报告公开披露页</x:v>
      </x:c>
      <x:c r="F8" s="21" t="str">
        <x:v>HTML披露表</x:v>
      </x:c>
      <x:c r="G8" s="21" t="str">
        <x:v>再次列示两名发行对象、认购股数、金额及发行后持股比例。</x:v>
      </x:c>
      <x:c r="H8" s="21" t="str">
        <x:v>CORROBORATING_ISSUER_DISCLOSURE</x:v>
      </x:c>
      <x:c r="I8" s="21" t="str">
        <x:v>https://money.finance.sina.com.cn/corp/view/vCB_AllBulletinDetail.php?id=9713085&amp;stockid=920100</x:v>
      </x:c>
      <x:c r="J8" s="21" t="str">
        <x:v>佐证；主取值仍以半年度报告表格为证据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63" hidden="0" customWidth="1"/>
    <x:col min="5" max="5" width="38" hidden="0" customWidth="1"/>
    <x:col min="6" max="6" width="55" hidden="0" customWidth="1"/>
    <x:col min="7" max="7" width="82" hidden="0" customWidth="1"/>
    <x:col min="8" max="8" width="70" hidden="0" customWidth="1"/>
    <x:col min="9" max="9" width="38" hidden="0" customWidth="1"/>
  </x:cols>
  <x:sheetData>
    <x:row r="1" ht="30" customHeight="1">
      <x:c r="A1" s="3" t="str">
        <x:v>未解决事项与正式停止决定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7" t="str">
        <x:v>以下项目不是0，也不是没有投资；只是现有原始资料不足以闭合交易时点比例。</x:v>
      </x:c>
      <x:c r="B2" s="7"/>
      <x:c r="C2" s="7"/>
      <x:c r="D2" s="7"/>
      <x:c r="E2" s="7"/>
      <x:c r="F2" s="7"/>
      <x:c r="G2" s="7"/>
      <x:c r="H2" s="7"/>
      <x:c r="I2" s="7"/>
    </x:row>
    <x:row r="4" ht="36" customHeight="1">
      <x:c r="A4" s="11" t="str">
        <x:v>停止ID</x:v>
      </x:c>
      <x:c r="B4" s="11" t="str">
        <x:v>公司</x:v>
      </x:c>
      <x:c r="C4" s="11" t="str">
        <x:v>事件</x:v>
      </x:c>
      <x:c r="D4" s="11" t="str">
        <x:v>投资者</x:v>
      </x:c>
      <x:c r="E4" s="11" t="str">
        <x:v>相关路径边</x:v>
      </x:c>
      <x:c r="F4" s="11" t="str">
        <x:v>缺失字段</x:v>
      </x:c>
      <x:c r="G4" s="11" t="str">
        <x:v>可重启所需证据</x:v>
      </x:c>
      <x:c r="H4" s="11" t="str">
        <x:v>禁止做法</x:v>
      </x:c>
      <x:c r="I4" s="11" t="str">
        <x:v>状态</x:v>
      </x:c>
    </x:row>
    <x:row r="5" ht="82" customHeight="1">
      <x:c r="A5" s="19" t="str">
        <x:v>STOP-01</x:v>
      </x:c>
      <x:c r="B5" s="19" t="str">
        <x:v>云汉芯城</x:v>
      </x:c>
      <x:c r="C5" s="19" t="str">
        <x:v>CE-007</x:v>
      </x:c>
      <x:c r="D5" s="19" t="str">
        <x:v>深圳市创新投资集团有限公司</x:v>
      </x:c>
      <x:c r="E5" s="19" t="str">
        <x:v>EDGE-005;EDGE-041</x:v>
      </x:c>
      <x:c r="F5" s="19" t="str">
        <x:v>缺该次增资后个体注册资本/持股比例</x:v>
      </x:c>
      <x:c r="G5" s="19" t="str">
        <x:v>2015年增资协议、工商变更股东名册或同轮验资报告</x:v>
      </x:c>
      <x:c r="H5" s="19" t="str">
        <x:v>不使用2015年整体变更后的股东快照倒推</x:v>
      </x:c>
      <x:c r="I5" s="19" t="str">
        <x:v>FORMAL_STOP_UNTIL_NEW_EVIDENCE</x:v>
      </x:c>
    </x:row>
    <x:row r="6" ht="82" customHeight="1">
      <x:c r="A6" s="20" t="str">
        <x:v>STOP-02</x:v>
      </x:c>
      <x:c r="B6" s="20" t="str">
        <x:v>云汉芯城</x:v>
      </x:c>
      <x:c r="C6" s="20" t="str">
        <x:v>CE-007</x:v>
      </x:c>
      <x:c r="D6" s="20" t="str">
        <x:v>镇江红土创业投资有限公司</x:v>
      </x:c>
      <x:c r="E6" s="20" t="str">
        <x:v>EDGE-007;EDGE-043</x:v>
      </x:c>
      <x:c r="F6" s="20" t="str">
        <x:v>缺该次增资后个体注册资本/持股比例</x:v>
      </x:c>
      <x:c r="G6" s="20" t="str">
        <x:v>同上</x:v>
      </x:c>
      <x:c r="H6" s="20" t="str">
        <x:v>不按总投资额平均分配</x:v>
      </x:c>
      <x:c r="I6" s="20" t="str">
        <x:v>FORMAL_STOP_UNTIL_NEW_EVIDENCE</x:v>
      </x:c>
    </x:row>
    <x:row r="7" ht="82" customHeight="1">
      <x:c r="A7" s="20" t="str">
        <x:v>STOP-03</x:v>
      </x:c>
      <x:c r="B7" s="20" t="str">
        <x:v>云汉芯城</x:v>
      </x:c>
      <x:c r="C7" s="20" t="str">
        <x:v>CE-007</x:v>
      </x:c>
      <x:c r="D7" s="20" t="str">
        <x:v>昆山红土高新创业投资有限公司</x:v>
      </x:c>
      <x:c r="E7" s="20" t="str">
        <x:v>EDGE-008;EDGE-044</x:v>
      </x:c>
      <x:c r="F7" s="20" t="str">
        <x:v>缺该次增资后个体注册资本/持股比例</x:v>
      </x:c>
      <x:c r="G7" s="20" t="str">
        <x:v>同上</x:v>
      </x:c>
      <x:c r="H7" s="20" t="str">
        <x:v>不按后续同比例折股结果反推</x:v>
      </x:c>
      <x:c r="I7" s="20" t="str">
        <x:v>FORMAL_STOP_UNTIL_NEW_EVIDENCE</x:v>
      </x:c>
    </x:row>
    <x:row r="8" ht="82" customHeight="1">
      <x:c r="A8" s="20" t="str">
        <x:v>STOP-04</x:v>
      </x:c>
      <x:c r="B8" s="20" t="str">
        <x:v>云汉芯城</x:v>
      </x:c>
      <x:c r="C8" s="20" t="str">
        <x:v>CE-007</x:v>
      </x:c>
      <x:c r="D8" s="20" t="str">
        <x:v>富海深湾（深圳）移动创新私募创业投资基金合伙企业（有限合伙）</x:v>
      </x:c>
      <x:c r="E8" s="20" t="str">
        <x:v>EDGE-009;EDGE-045</x:v>
      </x:c>
      <x:c r="F8" s="20" t="str">
        <x:v>缺该次增资后个体注册资本/持股比例</x:v>
      </x:c>
      <x:c r="G8" s="20" t="str">
        <x:v>同上</x:v>
      </x:c>
      <x:c r="H8" s="20" t="str">
        <x:v>后续快照只能用于时点描述</x:v>
      </x:c>
      <x:c r="I8" s="20" t="str">
        <x:v>FORMAL_STOP_UNTIL_NEW_EVIDENCE</x:v>
      </x:c>
    </x:row>
    <x:row r="9" ht="82" customHeight="1">
      <x:c r="A9" s="21" t="str">
        <x:v>STOP-05</x:v>
      </x:c>
      <x:c r="B9" s="21" t="str">
        <x:v>云汉芯城</x:v>
      </x:c>
      <x:c r="C9" s="21" t="str">
        <x:v>CE-007</x:v>
      </x:c>
      <x:c r="D9" s="21" t="str">
        <x:v>芜湖富海浩研创业投资基金（有限合伙）</x:v>
      </x:c>
      <x:c r="E9" s="21" t="str">
        <x:v>EDGE-046</x:v>
      </x:c>
      <x:c r="F9" s="21" t="str">
        <x:v>缺2015年新增部分对应的交易后个体明细</x:v>
      </x:c>
      <x:c r="G9" s="21" t="str">
        <x:v>同上</x:v>
      </x:c>
      <x:c r="H9" s="21" t="str">
        <x:v>2014年6.75%不能直接延用到2015年</x:v>
      </x:c>
      <x:c r="I9" s="21" t="str">
        <x:v>FORMAL_STOP_UNTIL_NEW_EVIDENCE</x:v>
      </x:c>
    </x:row>
  </x:sheetData>
  <x:mergeCells>
    <x:mergeCell ref="A1:I1"/>
    <x:mergeCell ref="A2:I2"/>
  </x:mergeCells>
  <x:conditionalFormatting sqref="I5:I9">
    <x:cfRule type="containsText" dxfId="5" priority="1" operator="containsText" text="FORMAL_STOP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33" hidden="0" customWidth="1"/>
    <x:col min="4" max="4" width="31" hidden="0" customWidth="1"/>
    <x:col min="5" max="5" width="18" hidden="0" customWidth="1"/>
    <x:col min="6" max="6" width="16" hidden="0" customWidth="1"/>
    <x:col min="7" max="7" width="69" hidden="0" customWidth="1"/>
    <x:col min="8" max="8" width="76" hidden="0" customWidth="1"/>
    <x:col min="9" max="9" width="36" hidden="0" customWidth="1"/>
  </x:cols>
  <x:sheetData>
    <x:row r="1" ht="30" customHeight="1">
      <x:c r="A1" s="3" t="str">
        <x:v>公司—事件层PE/VC比例利用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7" t="str">
        <x:v>只在证据和分类边界内加总；不是完整股权结构，也不支持统计显著性或因果推断。</x:v>
      </x:c>
      <x:c r="B2" s="7"/>
      <x:c r="C2" s="7"/>
      <x:c r="D2" s="7"/>
      <x:c r="E2" s="7"/>
      <x:c r="F2" s="7"/>
      <x:c r="G2" s="7"/>
      <x:c r="H2" s="7"/>
      <x:c r="I2" s="7"/>
    </x:row>
    <x:row r="4" ht="36" customHeight="1">
      <x:c r="A4" s="11" t="str">
        <x:v>记录ID</x:v>
      </x:c>
      <x:c r="B4" s="11" t="str">
        <x:v>公司</x:v>
      </x:c>
      <x:c r="C4" s="11" t="str">
        <x:v>交易/轮次</x:v>
      </x:c>
      <x:c r="D4" s="11" t="str">
        <x:v>事件口径</x:v>
      </x:c>
      <x:c r="E4" s="11" t="str">
        <x:v>比例</x:v>
      </x:c>
      <x:c r="F4" s="11" t="str">
        <x:v>投资者数</x:v>
      </x:c>
      <x:c r="G4" s="11" t="str">
        <x:v>计算</x:v>
      </x:c>
      <x:c r="H4" s="11" t="str">
        <x:v>边界</x:v>
      </x:c>
      <x:c r="I4" s="11" t="str">
        <x:v>状态</x:v>
      </x:c>
    </x:row>
    <x:row r="5" ht="72" customHeight="1">
      <x:c r="A5" s="19" t="str">
        <x:v>AGG-01</x:v>
      </x:c>
      <x:c r="B5" s="19" t="str">
        <x:v>云汉芯城</x:v>
      </x:c>
      <x:c r="C5" s="19" t="str">
        <x:v>2014首次共同增资</x:v>
      </x:c>
      <x:c r="D5" s="19" t="str">
        <x:v>CE-004</x:v>
      </x:c>
      <x:c r="E5" s="30" t="n">
        <x:v>0.11</x:v>
      </x:c>
      <x:c r="F5" s="19" t="n">
        <x:v>2</x:v>
      </x:c>
      <x:c r="G5" s="19" t="str">
        <x:v>东方富海5.5%+芜湖富海浩研5.5%</x:v>
      </x:c>
      <x:c r="H5" s="19" t="str">
        <x:v>确认PE/VC合计；力源信息11%另列为产业/战略投资者</x:v>
      </x:c>
      <x:c r="I5" s="19" t="str">
        <x:v>READY_FOR_CASE_ANALYSIS</x:v>
      </x:c>
    </x:row>
    <x:row r="6" ht="72" customHeight="1">
      <x:c r="A6" s="20" t="str">
        <x:v>AGG-02</x:v>
      </x:c>
      <x:c r="B6" s="20" t="str">
        <x:v>云汉芯城</x:v>
      </x:c>
      <x:c r="C6" s="20" t="str">
        <x:v>2014第二次共同增资</x:v>
      </x:c>
      <x:c r="D6" s="20" t="str">
        <x:v>CE-005</x:v>
      </x:c>
      <x:c r="E6" s="26" t="n">
        <x:v>0.135</x:v>
      </x:c>
      <x:c r="F6" s="20" t="n">
        <x:v>2</x:v>
      </x:c>
      <x:c r="G6" s="20" t="str">
        <x:v>东方富海6.75%+芜湖富海浩研6.75%</x:v>
      </x:c>
      <x:c r="H6" s="20" t="str">
        <x:v>确认PE/VC合计；力源信息13.5%不并入</x:v>
      </x:c>
      <x:c r="I6" s="20" t="str">
        <x:v>READY_FOR_CASE_ANALYSIS</x:v>
      </x:c>
    </x:row>
    <x:row r="7" ht="72" customHeight="1">
      <x:c r="A7" s="20" t="str">
        <x:v>AGG-03</x:v>
      </x:c>
      <x:c r="B7" s="20" t="str">
        <x:v>云汉芯城</x:v>
      </x:c>
      <x:c r="C7" s="20" t="str">
        <x:v>2015 B轮</x:v>
      </x:c>
      <x:c r="D7" s="20" t="str">
        <x:v>CE-007</x:v>
      </x:c>
      <x:c r="E7" s="26" t="n">
        <x:v>0.016667</x:v>
      </x:c>
      <x:c r="F7" s="20" t="n">
        <x:v>1</x:v>
      </x:c>
      <x:c r="G7" s="20" t="str">
        <x:v>仅丰利财富（PEVC_RELATED）1.6667%</x:v>
      </x:c>
      <x:c r="H7" s="20" t="str">
        <x:v>不是确认PE/VC合计，其他5家仍停止</x:v>
      </x:c>
      <x:c r="I7" s="20" t="str">
        <x:v>PARTIAL_RELATED_CAPITAL_ONLY</x:v>
      </x:c>
    </x:row>
    <x:row r="8" ht="72" customHeight="1">
      <x:c r="A8" s="20" t="str">
        <x:v>AGG-04</x:v>
      </x:c>
      <x:c r="B8" s="20" t="str">
        <x:v>云汉芯城</x:v>
      </x:c>
      <x:c r="C8" s="20" t="str">
        <x:v>2018年6—7月交易</x:v>
      </x:c>
      <x:c r="D8" s="20" t="str">
        <x:v>CE-010-01/03</x:v>
      </x:c>
      <x:c r="E8" s="26" t="n">
        <x:v>0.1132</x:v>
      </x:c>
      <x:c r="F8" s="20" t="n">
        <x:v>6</x:v>
      </x:c>
      <x:c r="G8" s="20" t="str">
        <x:v>六家确认PE/VC比例合计</x:v>
      </x:c>
      <x:c r="H8" s="20" t="str">
        <x:v>不含候选及非PE/VC投资者</x:v>
      </x:c>
      <x:c r="I8" s="20" t="str">
        <x:v>READY_FOR_CASE_ANALYSIS</x:v>
      </x:c>
    </x:row>
    <x:row r="9" ht="72" customHeight="1">
      <x:c r="A9" s="20" t="str">
        <x:v>AGG-05</x:v>
      </x:c>
      <x:c r="B9" s="20" t="str">
        <x:v>友升股份</x:v>
      </x:c>
      <x:c r="C9" s="20" t="str">
        <x:v>2020年9月增资</x:v>
      </x:c>
      <x:c r="D9" s="20" t="str">
        <x:v>EVT-603418-0003</x:v>
      </x:c>
      <x:c r="E9" s="26" t="n">
        <x:v>0.0897</x:v>
      </x:c>
      <x:c r="F9" s="20" t="n">
        <x:v>2</x:v>
      </x:c>
      <x:c r="G9" s="20" t="str">
        <x:v>金浦临港6.28%+金浦科创2.69%</x:v>
      </x:c>
      <x:c r="H9" s="20" t="str">
        <x:v>同一交易后时点</x:v>
      </x:c>
      <x:c r="I9" s="20" t="str">
        <x:v>READY_FOR_CASE_ANALYSIS</x:v>
      </x:c>
    </x:row>
    <x:row r="10" ht="72" customHeight="1">
      <x:c r="A10" s="21" t="str">
        <x:v>AGG-06</x:v>
      </x:c>
      <x:c r="B10" s="21" t="str">
        <x:v>三协电机</x:v>
      </x:c>
      <x:c r="C10" s="21" t="str">
        <x:v>2022年定向发行</x:v>
      </x:c>
      <x:c r="D10" s="21" t="str">
        <x:v>W7-OVR-920100-2022-DI</x:v>
      </x:c>
      <x:c r="E10" s="31" t="n">
        <x:v>0.150142</x:v>
      </x:c>
      <x:c r="F10" s="21" t="n">
        <x:v>2</x:v>
      </x:c>
      <x:c r="G10" s="21" t="str">
        <x:v>稳正景明9.9909%+稳正长泽5.0233%</x:v>
      </x:c>
      <x:c r="H10" s="21" t="str">
        <x:v>披露比例之和15.0142%；股数精确合计为530万股</x:v>
      </x:c>
      <x:c r="I10" s="21" t="str">
        <x:v>READY_FOR_CASE_ANALYSIS</x:v>
      </x:c>
    </x:row>
  </x:sheetData>
  <x:mergeCells>
    <x:mergeCell ref="A1:I1"/>
    <x:mergeCell ref="A2:I2"/>
  </x:mergeCells>
  <x:conditionalFormatting sqref="I5:I10">
    <x:cfRule type="containsText" dxfId="6" priority="1" operator="containsText" text="READY"/>
    <x:cfRule type="containsText" dxfId="7" priority="2" operator="containsText" text="PARTIA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24" hidden="0" customWidth="1"/>
    <x:col min="4" max="4" width="27" hidden="0" customWidth="1"/>
    <x:col min="5" max="5" width="80" hidden="0" customWidth="1"/>
    <x:col min="6" max="6" width="83" hidden="0" customWidth="1"/>
    <x:col min="7" max="7" width="37" hidden="0" customWidth="1"/>
  </x:cols>
  <x:sheetData>
    <x:row r="1" ht="30" customHeight="1">
      <x:c r="A1" s="3" t="str">
        <x:v>Stage 6变量开发评估</x:v>
      </x:c>
      <x:c r="B1" s="3"/>
      <x:c r="C1" s="3"/>
      <x:c r="D1" s="3"/>
      <x:c r="E1" s="3"/>
      <x:c r="F1" s="3"/>
      <x:c r="G1" s="3"/>
    </x:row>
    <x:row r="2" ht="42" customHeight="1">
      <x:c r="A2" s="7" t="str">
        <x:v>候选变量保留在研究扩展层，不改动Week 9冻结32变量。</x:v>
      </x:c>
      <x:c r="B2" s="7"/>
      <x:c r="C2" s="7"/>
      <x:c r="D2" s="7"/>
      <x:c r="E2" s="7"/>
      <x:c r="F2" s="7"/>
      <x:c r="G2" s="7"/>
    </x:row>
    <x:row r="4" ht="36" customHeight="1">
      <x:c r="A4" s="11" t="str">
        <x:v>变量ID</x:v>
      </x:c>
      <x:c r="B4" s="11" t="str">
        <x:v>候选指标</x:v>
      </x:c>
      <x:c r="C4" s="11" t="str">
        <x:v>分析单位</x:v>
      </x:c>
      <x:c r="D4" s="11" t="str">
        <x:v>当前值</x:v>
      </x:c>
      <x:c r="E4" s="11" t="str">
        <x:v>计算说明</x:v>
      </x:c>
      <x:c r="F4" s="11" t="str">
        <x:v>解释边界</x:v>
      </x:c>
      <x:c r="G4" s="11" t="str">
        <x:v>状态</x:v>
      </x:c>
    </x:row>
    <x:row r="5" ht="66" customHeight="1">
      <x:c r="A5" s="19" t="str">
        <x:v>RV6-001</x:v>
      </x:c>
      <x:c r="B5" s="19" t="str">
        <x:v>路径行比例覆盖率</x:v>
      </x:c>
      <x:c r="C5" s="19" t="str">
        <x:v>路径行</x:v>
      </x:c>
      <x:c r="D5" s="27" t="n">
        <x:v>0.5942028985507246</x:v>
      </x:c>
      <x:c r="E5" s="19" t="str">
        <x:v>41/69</x:v>
      </x:c>
      <x:c r="F5" s="19" t="str">
        <x:v>只衡量既有路径证据闭合度；缺失不等于0</x:v>
      </x:c>
      <x:c r="G5" s="19" t="str">
        <x:v>READY_WITH_BOUNDARY</x:v>
      </x:c>
    </x:row>
    <x:row r="6" ht="66" customHeight="1">
      <x:c r="A6" s="20" t="str">
        <x:v>RV6-002</x:v>
      </x:c>
      <x:c r="B6" s="20" t="str">
        <x:v>唯一投资者—事件比例记录数</x:v>
      </x:c>
      <x:c r="C6" s="20" t="str">
        <x:v>条</x:v>
      </x:c>
      <x:c r="D6" s="20" t="n">
        <x:v>27</x:v>
      </x:c>
      <x:c r="E6" s="20" t="str">
        <x:v>measurement_id去重</x:v>
      </x:c>
      <x:c r="F6" s="20" t="str">
        <x:v>重复语义边不重复计数</x:v>
      </x:c>
      <x:c r="G6" s="20" t="str">
        <x:v>READY</x:v>
      </x:c>
    </x:row>
    <x:row r="7" ht="66" customHeight="1">
      <x:c r="A7" s="20" t="str">
        <x:v>RV6-003</x:v>
      </x:c>
      <x:c r="B7" s="20" t="str">
        <x:v>确认PE/VC唯一比例记录数</x:v>
      </x:c>
      <x:c r="C7" s="20" t="str">
        <x:v>条</x:v>
      </x:c>
      <x:c r="D7" s="20" t="n">
        <x:v>16</x:v>
      </x:c>
      <x:c r="E7" s="20" t="str">
        <x:v>PEVC_CONFIRMED且canonical=1</x:v>
      </x:c>
      <x:c r="F7" s="20" t="str">
        <x:v>PEVC_RELATED/CANDIDATE不并入</x:v>
      </x:c>
      <x:c r="G7" s="20" t="str">
        <x:v>READY_WITH_BOUNDARY</x:v>
      </x:c>
    </x:row>
    <x:row r="8" ht="66" customHeight="1">
      <x:c r="A8" s="20" t="str">
        <x:v>RV6-004</x:v>
      </x:c>
      <x:c r="B8" s="20" t="str">
        <x:v>早期共同增资PE/VC进入强度</x:v>
      </x:c>
      <x:c r="C8" s="20" t="str">
        <x:v>公司—事件</x:v>
      </x:c>
      <x:c r="D8" s="20" t="n">
        <x:v>2</x:v>
      </x:c>
      <x:c r="E8" s="20" t="str">
        <x:v>云汉CE-004与CE-005分别11%、13.5%</x:v>
      </x:c>
      <x:c r="F8" s="20" t="str">
        <x:v>只作同公司时序案例比较</x:v>
      </x:c>
      <x:c r="G8" s="20" t="str">
        <x:v>READY_FOR_CASE_ANALYSIS</x:v>
      </x:c>
    </x:row>
    <x:row r="9" ht="66" customHeight="1">
      <x:c r="A9" s="20" t="str">
        <x:v>RV6-005</x:v>
      </x:c>
      <x:c r="B9" s="20" t="str">
        <x:v>定向发行PE/VC合计持股</x:v>
      </x:c>
      <x:c r="C9" s="20" t="str">
        <x:v>公司—事件</x:v>
      </x:c>
      <x:c r="D9" s="26" t="n">
        <x:v>0.150142</x:v>
      </x:c>
      <x:c r="E9" s="20" t="str">
        <x:v>三协两家确认PE/VC披露比例求和</x:v>
      </x:c>
      <x:c r="F9" s="20" t="str">
        <x:v>不是发行后全部机构持股比例</x:v>
      </x:c>
      <x:c r="G9" s="20" t="str">
        <x:v>READY_FOR_CASE_ANALYSIS</x:v>
      </x:c>
    </x:row>
    <x:row r="10" ht="66" customHeight="1">
      <x:c r="A10" s="20" t="str">
        <x:v>RV6-006</x:v>
      </x:c>
      <x:c r="B10" s="20" t="str">
        <x:v>2015 B轮完整PE/VC合计持股</x:v>
      </x:c>
      <x:c r="C10" s="20" t="str">
        <x:v>公司—事件</x:v>
      </x:c>
      <x:c r="D10" s="20"/>
      <x:c r="E10" s="20" t="str">
        <x:v>仅丰利财富可闭合</x:v>
      </x:c>
      <x:c r="F10" s="20" t="str">
        <x:v>其余个体缺失，停止计算</x:v>
      </x:c>
      <x:c r="G10" s="20" t="str">
        <x:v>NOT_READY_FORMAL_STOP</x:v>
      </x:c>
    </x:row>
    <x:row r="11" ht="66" customHeight="1">
      <x:c r="A11" s="21" t="str">
        <x:v>RV6-007</x:v>
      </x:c>
      <x:c r="B11" s="21" t="str">
        <x:v>交易后投资者持股集中度HHI</x:v>
      </x:c>
      <x:c r="C11" s="21" t="str">
        <x:v>公司—时点</x:v>
      </x:c>
      <x:c r="D11" s="21"/>
      <x:c r="E11" s="21" t="str">
        <x:v>需同一时点完整股东表</x:v>
      </x:c>
      <x:c r="F11" s="21" t="str">
        <x:v>零散路径比例不能替代完整分布</x:v>
      </x:c>
      <x:c r="G11" s="21" t="str">
        <x:v>NOT_READY</x:v>
      </x:c>
    </x:row>
  </x:sheetData>
  <x:mergeCells>
    <x:mergeCell ref="A1:G1"/>
    <x:mergeCell ref="A2:G2"/>
  </x:mergeCells>
  <x:conditionalFormatting sqref="G5:G11">
    <x:cfRule type="containsText" dxfId="8" priority="1" operator="containsText" text="READY"/>
    <x:cfRule type="containsText" dxfId="9" priority="2" operator="containsText" text="NOT_READY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0" hidden="0" customWidth="1"/>
    <x:col min="3" max="3" width="31" hidden="0" customWidth="1"/>
    <x:col min="4" max="4" width="86" hidden="0" customWidth="1"/>
    <x:col min="5" max="5" width="94" hidden="0" customWidth="1"/>
  </x:cols>
  <x:sheetData>
    <x:row r="1" ht="30" customHeight="1">
      <x:c r="A1" s="3" t="str">
        <x:v>下一阶段闸门</x:v>
      </x:c>
      <x:c r="B1" s="3"/>
      <x:c r="C1" s="3"/>
      <x:c r="D1" s="3"/>
      <x:c r="E1" s="3"/>
    </x:row>
    <x:row r="2" ht="42" customHeight="1">
      <x:c r="A2" s="7" t="str">
        <x:v>Stage 7转入‘变量利用与学术/商业价值开发’，不继续无期限追查已正式停止的同一缺口。</x:v>
      </x:c>
      <x:c r="B2" s="7"/>
      <x:c r="C2" s="7"/>
      <x:c r="D2" s="7"/>
      <x:c r="E2" s="7"/>
    </x:row>
    <x:row r="4" ht="36" customHeight="1">
      <x:c r="A4" s="11" t="str">
        <x:v>闸门ID</x:v>
      </x:c>
      <x:c r="B4" s="11" t="str">
        <x:v>事项</x:v>
      </x:c>
      <x:c r="C4" s="11" t="str">
        <x:v>状态</x:v>
      </x:c>
      <x:c r="D4" s="11" t="str">
        <x:v>本阶段结论</x:v>
      </x:c>
      <x:c r="E4" s="11" t="str">
        <x:v>进入/重启条件</x:v>
      </x:c>
    </x:row>
    <x:row r="5" ht="72" customHeight="1">
      <x:c r="A5" s="19" t="str">
        <x:v>G01</x:v>
      </x:c>
      <x:c r="B5" s="19" t="str">
        <x:v>Stage 6原始披露定点修复</x:v>
      </x:c>
      <x:c r="C5" s="19" t="str">
        <x:v>COMPLETED</x:v>
      </x:c>
      <x:c r="D5" s="19" t="str">
        <x:v>新增14条有值路径、9条唯一测量；覆盖率升至41/69</x:v>
      </x:c>
      <x:c r="E5" s="19" t="str">
        <x:v>进入数据利用层，不再无期限追查同一缺口</x:v>
      </x:c>
    </x:row>
    <x:row r="6" ht="72" customHeight="1">
      <x:c r="A6" s="20" t="str">
        <x:v>G02</x:v>
      </x:c>
      <x:c r="B6" s="20" t="str">
        <x:v>云汉2015 B轮未闭合主体</x:v>
      </x:c>
      <x:c r="C6" s="20" t="str">
        <x:v>FORMAL_STOP</x:v>
      </x:c>
      <x:c r="D6" s="20" t="str">
        <x:v>5个主体继续为null</x:v>
      </x:c>
      <x:c r="E6" s="20" t="str">
        <x:v>仅在取得增资协议/工商股东名册/验资报告时重启</x:v>
      </x:c>
    </x:row>
    <x:row r="7" ht="72" customHeight="1">
      <x:c r="A7" s="20" t="str">
        <x:v>G03</x:v>
      </x:c>
      <x:c r="B7" s="20" t="str">
        <x:v>研究变量v0.1</x:v>
      </x:c>
      <x:c r="C7" s="20" t="str">
        <x:v>NEXT_STAGE</x:v>
      </x:c>
      <x:c r="D7" s="20" t="str">
        <x:v>把可用比例与既有32变量连接，形成学术/商业问题—变量矩阵</x:v>
      </x:c>
      <x:c r="E7" s="20" t="str">
        <x:v>不修改Week 9冻结版，先做扩展研究层</x:v>
      </x:c>
    </x:row>
    <x:row r="8" ht="72" customHeight="1">
      <x:c r="A8" s="21" t="str">
        <x:v>G04</x:v>
      </x:c>
      <x:c r="B8" s="21" t="str">
        <x:v>第九、第十家公司扩展测试</x:v>
      </x:c>
      <x:c r="C8" s="21" t="str">
        <x:v>DEFERRED</x:v>
      </x:c>
      <x:c r="D8" s="21" t="str">
        <x:v>等待八家公司研究层变量利用说明稳定</x:v>
      </x:c>
      <x:c r="E8" s="21" t="str">
        <x:v>下一阶段完成后再启动</x:v>
      </x:c>
    </x:row>
  </x:sheetData>
  <x:mergeCells>
    <x:mergeCell ref="A1:E1"/>
    <x:mergeCell ref="A2:E2"/>
  </x:mergeCells>
  <x:conditionalFormatting sqref="C5:C8">
    <x:cfRule type="containsText" dxfId="10" priority="1" operator="containsText" text="COMPLETED"/>
    <x:cfRule type="containsText" dxfId="11" priority="2" operator="containsText" text="NEXT_STAGE"/>
    <x:cfRule type="containsText" dxfId="12" priority="3" operator="containsText" text="FORMAL_STOP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0" hidden="0" customWidth="1"/>
    <x:col min="3" max="3" width="28" hidden="0" customWidth="1"/>
    <x:col min="4" max="4" width="28" hidden="0" customWidth="1"/>
    <x:col min="5" max="5" width="16" hidden="0" customWidth="1"/>
    <x:col min="6" max="6" width="83" hidden="0" customWidth="1"/>
  </x:cols>
  <x:sheetData>
    <x:row r="1" ht="30" customHeight="1">
      <x:c r="A1" s="3" t="str">
        <x:v>Stage 6验收检查</x:v>
      </x:c>
      <x:c r="B1" s="3"/>
      <x:c r="C1" s="3"/>
      <x:c r="D1" s="3"/>
      <x:c r="E1" s="3"/>
      <x:c r="F1" s="3"/>
    </x:row>
    <x:row r="2" ht="42" customHeight="1">
      <x:c r="A2" s="7" t="str">
        <x:v>16项检查覆盖路径总数、比例增量、证据闭合、正式停止、去重与冻结文件只读。</x:v>
      </x:c>
      <x:c r="B2" s="7"/>
      <x:c r="C2" s="7"/>
      <x:c r="D2" s="7"/>
      <x:c r="E2" s="7"/>
      <x:c r="F2" s="7"/>
    </x:row>
    <x:row r="4" ht="36" customHeight="1">
      <x:c r="A4" s="11" t="str">
        <x:v>检查ID</x:v>
      </x:c>
      <x:c r="B4" s="11" t="str">
        <x:v>检查项目</x:v>
      </x:c>
      <x:c r="C4" s="11" t="str">
        <x:v>实际值</x:v>
      </x:c>
      <x:c r="D4" s="11" t="str">
        <x:v>预期值</x:v>
      </x:c>
      <x:c r="E4" s="11" t="str">
        <x:v>状态</x:v>
      </x:c>
      <x:c r="F4" s="11" t="str">
        <x:v>依据</x:v>
      </x:c>
    </x:row>
    <x:row r="5" ht="46" customHeight="1">
      <x:c r="A5" s="19" t="str">
        <x:v>C01</x:v>
      </x:c>
      <x:c r="B5" s="19" t="str">
        <x:v>八家公司覆盖</x:v>
      </x:c>
      <x:c r="C5" s="19" t="n">
        <x:v>8</x:v>
      </x:c>
      <x:c r="D5" s="19" t="n">
        <x:v>8</x:v>
      </x:c>
      <x:c r="E5" s="19" t="str">
        <x:v>PASS</x:v>
      </x:c>
      <x:c r="F5" s="19" t="str">
        <x:v>公司ID去重</x:v>
      </x:c>
    </x:row>
    <x:row r="6" ht="46" customHeight="1">
      <x:c r="A6" s="20" t="str">
        <x:v>C02</x:v>
      </x:c>
      <x:c r="B6" s="20" t="str">
        <x:v>路径边总数</x:v>
      </x:c>
      <x:c r="C6" s="20" t="n">
        <x:v>69</x:v>
      </x:c>
      <x:c r="D6" s="20" t="n">
        <x:v>69</x:v>
      </x:c>
      <x:c r="E6" s="20" t="str">
        <x:v>PASS</x:v>
      </x:c>
      <x:c r="F6" s="20" t="str">
        <x:v>承接Stage 5</x:v>
      </x:c>
    </x:row>
    <x:row r="7" ht="46" customHeight="1">
      <x:c r="A7" s="20" t="str">
        <x:v>C03</x:v>
      </x:c>
      <x:c r="B7" s="20" t="str">
        <x:v>有比例路径行</x:v>
      </x:c>
      <x:c r="C7" s="20" t="n">
        <x:v>41</x:v>
      </x:c>
      <x:c r="D7" s="20" t="n">
        <x:v>41</x:v>
      </x:c>
      <x:c r="E7" s="20" t="str">
        <x:v>PASS</x:v>
      </x:c>
      <x:c r="F7" s="20" t="str">
        <x:v>27+14</x:v>
      </x:c>
    </x:row>
    <x:row r="8" ht="46" customHeight="1">
      <x:c r="A8" s="20" t="str">
        <x:v>C04</x:v>
      </x:c>
      <x:c r="B8" s="20" t="str">
        <x:v>唯一测量</x:v>
      </x:c>
      <x:c r="C8" s="20" t="n">
        <x:v>27</x:v>
      </x:c>
      <x:c r="D8" s="20" t="n">
        <x:v>27</x:v>
      </x:c>
      <x:c r="E8" s="20" t="str">
        <x:v>PASS</x:v>
      </x:c>
      <x:c r="F8" s="20" t="str">
        <x:v>18+9</x:v>
      </x:c>
    </x:row>
    <x:row r="9" ht="46" customHeight="1">
      <x:c r="A9" s="20" t="str">
        <x:v>C05</x:v>
      </x:c>
      <x:c r="B9" s="20" t="str">
        <x:v>确认PE/VC唯一测量</x:v>
      </x:c>
      <x:c r="C9" s="20" t="n">
        <x:v>16</x:v>
      </x:c>
      <x:c r="D9" s="20" t="n">
        <x:v>16</x:v>
      </x:c>
      <x:c r="E9" s="20" t="str">
        <x:v>PASS</x:v>
      </x:c>
      <x:c r="F9" s="20" t="str">
        <x:v>10+6</x:v>
      </x:c>
    </x:row>
    <x:row r="10" ht="46" customHeight="1">
      <x:c r="A10" s="20" t="str">
        <x:v>C06</x:v>
      </x:c>
      <x:c r="B10" s="20" t="str">
        <x:v>原文直接披露路径行</x:v>
      </x:c>
      <x:c r="C10" s="20" t="n">
        <x:v>41</x:v>
      </x:c>
      <x:c r="D10" s="20" t="n">
        <x:v>41</x:v>
      </x:c>
      <x:c r="E10" s="20" t="str">
        <x:v>PASS</x:v>
      </x:c>
      <x:c r="F10" s="20" t="str">
        <x:v>全部有值行均为原文披露</x:v>
      </x:c>
    </x:row>
    <x:row r="11" ht="46" customHeight="1">
      <x:c r="A11" s="20" t="str">
        <x:v>C07</x:v>
      </x:c>
      <x:c r="B11" s="20" t="str">
        <x:v>结构性不适用</x:v>
      </x:c>
      <x:c r="C11" s="20" t="n">
        <x:v>9</x:v>
      </x:c>
      <x:c r="D11" s="20" t="n">
        <x:v>9</x:v>
      </x:c>
      <x:c r="E11" s="20" t="str">
        <x:v>PASS</x:v>
      </x:c>
      <x:c r="F11" s="20" t="str">
        <x:v>间接关系</x:v>
      </x:c>
    </x:row>
    <x:row r="12" ht="46" customHeight="1">
      <x:c r="A12" s="20" t="str">
        <x:v>C08</x:v>
      </x:c>
      <x:c r="B12" s="20" t="str">
        <x:v>原文不足状态清零</x:v>
      </x:c>
      <x:c r="C12" s="20" t="n">
        <x:v>0</x:v>
      </x:c>
      <x:c r="D12" s="20" t="n">
        <x:v>0</x:v>
      </x:c>
      <x:c r="E12" s="20" t="str">
        <x:v>PASS</x:v>
      </x:c>
      <x:c r="F12" s="20" t="str">
        <x:v>三协已闭合</x:v>
      </x:c>
    </x:row>
    <x:row r="13" ht="46" customHeight="1">
      <x:c r="A13" s="20" t="str">
        <x:v>C09</x:v>
      </x:c>
      <x:c r="B13" s="20" t="str">
        <x:v>其他证据不足</x:v>
      </x:c>
      <x:c r="C13" s="20" t="n">
        <x:v>19</x:v>
      </x:c>
      <x:c r="D13" s="20" t="n">
        <x:v>19</x:v>
      </x:c>
      <x:c r="E13" s="20" t="str">
        <x:v>PASS</x:v>
      </x:c>
      <x:c r="F13" s="20" t="str">
        <x:v>继续保留null</x:v>
      </x:c>
    </x:row>
    <x:row r="14" ht="46" customHeight="1">
      <x:c r="A14" s="20" t="str">
        <x:v>C10</x:v>
      </x:c>
      <x:c r="B14" s="20" t="str">
        <x:v>Stage 6新增证据</x:v>
      </x:c>
      <x:c r="C14" s="20" t="n">
        <x:v>4</x:v>
      </x:c>
      <x:c r="D14" s="20" t="n">
        <x:v>4</x:v>
      </x:c>
      <x:c r="E14" s="20" t="str">
        <x:v>PASS</x:v>
      </x:c>
      <x:c r="F14" s="20" t="str">
        <x:v>三类主证据+一项佐证</x:v>
      </x:c>
    </x:row>
    <x:row r="15" ht="46" customHeight="1">
      <x:c r="A15" s="20" t="str">
        <x:v>C11</x:v>
      </x:c>
      <x:c r="B15" s="20" t="str">
        <x:v>正式停止项</x:v>
      </x:c>
      <x:c r="C15" s="20" t="n">
        <x:v>5</x:v>
      </x:c>
      <x:c r="D15" s="20" t="n">
        <x:v>5</x:v>
      </x:c>
      <x:c r="E15" s="20" t="str">
        <x:v>PASS</x:v>
      </x:c>
      <x:c r="F15" s="20" t="str">
        <x:v>云汉CE-007未闭合主体</x:v>
      </x:c>
    </x:row>
    <x:row r="16" ht="46" customHeight="1">
      <x:c r="A16" s="20" t="str">
        <x:v>C12</x:v>
      </x:c>
      <x:c r="B16" s="20" t="str">
        <x:v>三协两条均有值</x:v>
      </x:c>
      <x:c r="C16" s="20" t="n">
        <x:v>2</x:v>
      </x:c>
      <x:c r="D16" s="20" t="n">
        <x:v>2</x:v>
      </x:c>
      <x:c r="E16" s="20" t="str">
        <x:v>PASS</x:v>
      </x:c>
      <x:c r="F16" s="20" t="str">
        <x:v>发行对象分配表</x:v>
      </x:c>
    </x:row>
    <x:row r="17" ht="46" customHeight="1">
      <x:c r="A17" s="20" t="str">
        <x:v>C13</x:v>
      </x:c>
      <x:c r="B17" s="20" t="str">
        <x:v>全部唯一测量有证据</x:v>
      </x:c>
      <x:c r="C17" s="20" t="n">
        <x:v>27</x:v>
      </x:c>
      <x:c r="D17" s="20" t="n">
        <x:v>27</x:v>
      </x:c>
      <x:c r="E17" s="20" t="str">
        <x:v>PASS</x:v>
      </x:c>
      <x:c r="F17" s="20" t="str">
        <x:v>证据ID非空</x:v>
      </x:c>
    </x:row>
    <x:row r="18" ht="46" customHeight="1">
      <x:c r="A18" s="20" t="str">
        <x:v>C14</x:v>
      </x:c>
      <x:c r="B18" s="20" t="str">
        <x:v>重复边不进入聚合</x:v>
      </x:c>
      <x:c r="C18" s="20" t="n">
        <x:v>14</x:v>
      </x:c>
      <x:c r="D18" s="20" t="n">
        <x:v>14</x:v>
      </x:c>
      <x:c r="E18" s="20" t="str">
        <x:v>PASS</x:v>
      </x:c>
      <x:c r="F18" s="20" t="str">
        <x:v>canonical去重</x:v>
      </x:c>
    </x:row>
    <x:row r="19" ht="46" customHeight="1">
      <x:c r="A19" s="20" t="str">
        <x:v>C15</x:v>
      </x:c>
      <x:c r="B19" s="20" t="str">
        <x:v>冻结文件只读</x:v>
      </x:c>
      <x:c r="C19" s="41" t="b">
        <x:v>1</x:v>
      </x:c>
      <x:c r="D19" s="41" t="b">
        <x:v>1</x:v>
      </x:c>
      <x:c r="E19" s="20" t="str">
        <x:v>PASS</x:v>
      </x:c>
      <x:c r="F19" s="20" t="str">
        <x:v>通过输入哈希前后复核</x:v>
      </x:c>
    </x:row>
    <x:row r="20" ht="46" customHeight="1">
      <x:c r="A20" s="21" t="str">
        <x:v>C16</x:v>
      </x:c>
      <x:c r="B20" s="21" t="str">
        <x:v>Stage 5工作簿只读</x:v>
      </x:c>
      <x:c r="C20" s="42" t="b">
        <x:v>1</x:v>
      </x:c>
      <x:c r="D20" s="42" t="b">
        <x:v>1</x:v>
      </x:c>
      <x:c r="E20" s="21" t="str">
        <x:v>PASS</x:v>
      </x:c>
      <x:c r="F20" s="21" t="str">
        <x:v>通过输入哈希前后复核</x:v>
      </x:c>
    </x:row>
  </x:sheetData>
  <x:mergeCells>
    <x:mergeCell ref="A1:F1"/>
    <x:mergeCell ref="A2:F2"/>
  </x:mergeCells>
  <x:conditionalFormatting sqref="E5:E20">
    <x:cfRule type="containsText" dxfId="13" priority="1" operator="containsText" text="PASS"/>
    <x:cfRule type="containsText" dxfId="14" priority="2" operator="containsText" text="FAIL"/>
  </x:conditionalFormatting>
  <x:pageMargins left="0.7" right="0.7" top="0.75" bottom="0.75" header="0.3" footer="0.3"/>
</x:worksheet>
</file>