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9be0f9584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b9f506a51c2845f2"/>
    <x:sheet xmlns:r="http://schemas.openxmlformats.org/officeDocument/2006/relationships" name="输入与边界" sheetId="2" r:id="Raefa7f451014433b"/>
    <x:sheet xmlns:r="http://schemas.openxmlformats.org/officeDocument/2006/relationships" name="32变量价值映射" sheetId="3" r:id="R6d30d6f1fbc246df"/>
    <x:sheet xmlns:r="http://schemas.openxmlformats.org/officeDocument/2006/relationships" name="27比例测量索引" sheetId="4" r:id="Rcebb557a93ba43f9"/>
    <x:sheet xmlns:r="http://schemas.openxmlformats.org/officeDocument/2006/relationships" name="研究问题矩阵" sheetId="5" r:id="Rabdd9a935e8d4ba4"/>
    <x:sheet xmlns:r="http://schemas.openxmlformats.org/officeDocument/2006/relationships" name="分析模块设计" sheetId="6" r:id="R9e6ce15539b940bf"/>
    <x:sheet xmlns:r="http://schemas.openxmlformats.org/officeDocument/2006/relationships" name="八公司研究画像" sheetId="7" r:id="Rfbd7b7a985654b6d"/>
    <x:sheet xmlns:r="http://schemas.openxmlformats.org/officeDocument/2006/relationships" name="探索性分组比较" sheetId="8" r:id="R13e8469b6a314ee2"/>
    <x:sheet xmlns:r="http://schemas.openxmlformats.org/officeDocument/2006/relationships" name="学术价值清单" sheetId="9" r:id="R9ae45003eaaf4556"/>
    <x:sheet xmlns:r="http://schemas.openxmlformats.org/officeDocument/2006/relationships" name="商业价值清单" sheetId="10" r:id="R31f849b47b7f4e86"/>
    <x:sheet xmlns:r="http://schemas.openxmlformats.org/officeDocument/2006/relationships" name="暂不开展分析" sheetId="11" r:id="R9ae29e13aea14543"/>
    <x:sheet xmlns:r="http://schemas.openxmlformats.org/officeDocument/2006/relationships" name="下一阶段闸门" sheetId="12" r:id="R525082a526a6411c"/>
    <x:sheet xmlns:r="http://schemas.openxmlformats.org/officeDocument/2006/relationships" name="验收检查" sheetId="13" r:id="R8db01ba9b1b7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00%"/>
    <x:numFmt numFmtId="202" formatCode="#,##0.00"/>
    <x:numFmt numFmtId="203" formatCode="0.000"/>
    <x:numFmt numFmtId="204" formatCode="@"/>
    <x:numFmt numFmtId="205" formatCode="0.00"/>
  </x:numFmts>
  <x:fonts count="6">
    <x:font>
      <x:sz val="11"/>
      <x:name val="Carlito"/>
    </x:font>
    <x:font>
      <x:b/>
      <x:sz val="11"/>
      <x:color rgb="FFFFFFFF"/>
      <x:name val="SimSun"/>
    </x:font>
    <x:font>
      <x:i/>
      <x:sz val="11"/>
      <x:color rgb="FF4B5563"/>
      <x:name val="SimSun"/>
    </x:font>
    <x:font>
      <x:sz val="11"/>
      <x:color rgb="FF111827"/>
      <x:name val="SimSun"/>
    </x:font>
    <x:font>
      <x:b/>
      <x:sz val="11"/>
      <x:color rgb="FF9C5700"/>
      <x:name val="SimSun"/>
    </x:font>
    <x:font>
      <x:sz val="11"/>
      <x:color rgb="FF008000"/>
      <x:name val="SimSu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47D75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1" fontId="3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202" fontId="5" fillId="0" borderId="3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vertical="top" wrapText="1"/>
    </x:xf>
    <x:xf numFmtId="203" fontId="5" fillId="0" borderId="2" xfId="0" applyNumberFormat="1" applyFont="1" applyFill="1" applyBorder="1" applyAlignment="1">
      <x:alignment vertical="top" wrapText="1"/>
    </x:xf>
    <x:xf numFmtId="203" fontId="5" fillId="0" borderId="3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4" fontId="3" fillId="0" borderId="1" xfId="0" applyNumberFormat="1" applyFont="1" applyFill="1" applyBorder="1" applyAlignment="1">
      <x:alignment vertical="top" wrapText="1"/>
    </x:xf>
    <x:xf numFmtId="204" fontId="3" fillId="0" borderId="2" xfId="0" applyNumberFormat="1" applyFont="1" applyFill="1" applyBorder="1" applyAlignment="1">
      <x:alignment vertical="top" wrapText="1"/>
    </x:xf>
    <x:xf numFmtId="204" fontId="3" fillId="0" borderId="3" xfId="0" applyNumberFormat="1" applyFont="1" applyFill="1" applyBorder="1" applyAlignment="1">
      <x:alignment vertical="top" wrapText="1"/>
    </x:xf>
    <x:xf numFmtId="205" fontId="3" fillId="0" borderId="1" xfId="0" applyNumberFormat="1" applyFont="1" applyFill="1" applyBorder="1" applyAlignment="1">
      <x:alignment vertical="top" wrapText="1"/>
    </x:xf>
    <x:xf numFmtId="205" fontId="3" fillId="0" borderId="3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2" fontId="3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7"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5B21B6"/>
      </x:font>
      <x:fill>
        <x:patternFill patternType="solid">
          <x:bgColor rgb="FFE4DFEC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5B21B6"/>
      </x:font>
      <x:fill>
        <x:patternFill patternType="solid">
          <x:bgColor rgb="FFE4DFE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5B21B6"/>
      </x:font>
      <x:fill>
        <x:patternFill patternType="solid">
          <x:bgColor rgb="FFE4DF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5B21B6"/>
      </x:font>
      <x:fill>
        <x:patternFill patternType="solid">
          <x:bgColor rgb="FFE4DFEC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1f8750e624edd" /><Relationship Type="http://schemas.openxmlformats.org/officeDocument/2006/relationships/theme" Target="/xl/theme/theme1.xml" Id="Rf51142573693458a" /><Relationship Type="http://schemas.microsoft.com/office/2022/11/relationships/FeaturePropertyBag" Target="/xl/featurePropertyBag/featurePropertyBag.xml" Id="R349c89f107404af6" /><Relationship Type="http://schemas.openxmlformats.org/officeDocument/2006/relationships/sharedStrings" Target="/xl/sharedStrings.xml" Id="Rca68d54c51fe42bc" /><Relationship Type="http://schemas.openxmlformats.org/officeDocument/2006/relationships/worksheet" Target="/xl/worksheets/sheet1.xml" Id="Rb9f506a51c2845f2" /><Relationship Type="http://schemas.openxmlformats.org/officeDocument/2006/relationships/worksheet" Target="/xl/worksheets/sheet2.xml" Id="Raefa7f451014433b" /><Relationship Type="http://schemas.openxmlformats.org/officeDocument/2006/relationships/worksheet" Target="/xl/worksheets/sheet3.xml" Id="R6d30d6f1fbc246df" /><Relationship Type="http://schemas.openxmlformats.org/officeDocument/2006/relationships/worksheet" Target="/xl/worksheets/sheet4.xml" Id="Rcebb557a93ba43f9" /><Relationship Type="http://schemas.openxmlformats.org/officeDocument/2006/relationships/worksheet" Target="/xl/worksheets/sheet5.xml" Id="Rabdd9a935e8d4ba4" /><Relationship Type="http://schemas.openxmlformats.org/officeDocument/2006/relationships/worksheet" Target="/xl/worksheets/sheet6.xml" Id="R9e6ce15539b940bf" /><Relationship Type="http://schemas.openxmlformats.org/officeDocument/2006/relationships/worksheet" Target="/xl/worksheets/sheet7.xml" Id="Rfbd7b7a985654b6d" /><Relationship Type="http://schemas.openxmlformats.org/officeDocument/2006/relationships/worksheet" Target="/xl/worksheets/sheet8.xml" Id="R13e8469b6a314ee2" /><Relationship Type="http://schemas.openxmlformats.org/officeDocument/2006/relationships/worksheet" Target="/xl/worksheets/sheet9.xml" Id="R9ae45003eaaf4556" /><Relationship Type="http://schemas.openxmlformats.org/officeDocument/2006/relationships/worksheet" Target="/xl/worksheets/sheet10.xml" Id="R31f849b47b7f4e86" /><Relationship Type="http://schemas.openxmlformats.org/officeDocument/2006/relationships/worksheet" Target="/xl/worksheets/sheet11.xml" Id="R9ae29e13aea14543" /><Relationship Type="http://schemas.openxmlformats.org/officeDocument/2006/relationships/worksheet" Target="/xl/worksheets/sheet12.xml" Id="R525082a526a6411c" /><Relationship Type="http://schemas.openxmlformats.org/officeDocument/2006/relationships/worksheet" Target="/xl/worksheets/sheet13.xml" Id="R8db01ba9b1b742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7" hidden="0" customWidth="1"/>
    <x:col min="3" max="3" width="28" hidden="0" customWidth="1"/>
    <x:col min="4" max="4" width="27" hidden="0" customWidth="1"/>
    <x:col min="5" max="5" width="28" hidden="0" customWidth="1"/>
    <x:col min="6" max="6" width="27" hidden="0" customWidth="1"/>
    <x:col min="7" max="7" width="28" hidden="0" customWidth="1"/>
    <x:col min="8" max="8" width="55" hidden="0" customWidth="1"/>
  </x:cols>
  <x:sheetData>
    <x:row r="1" ht="30" customHeight="1">
      <x:c r="A1" s="3" t="str">
        <x:v>Week 10 · Stage 7 变量利用与学术/商业价值开发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把Week 9的32个公司级变量与Stage 6的27条交易时点持股比例连接为可执行分析框架；不新增事实，不修改冻结层。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1" t="str">
        <x:v>项目</x:v>
      </x:c>
      <x:c r="B4" s="11" t="str">
        <x:v>结果</x:v>
      </x:c>
      <x:c r="C4" s="11" t="str">
        <x:v>项目</x:v>
      </x:c>
      <x:c r="D4" s="11" t="str">
        <x:v>结果</x:v>
      </x:c>
      <x:c r="E4" s="11" t="str">
        <x:v>项目</x:v>
      </x:c>
      <x:c r="F4" s="11" t="str">
        <x:v>结果</x:v>
      </x:c>
      <x:c r="G4" s="11" t="str">
        <x:v>项目</x:v>
      </x:c>
      <x:c r="H4" s="11" t="str">
        <x:v>结果</x:v>
      </x:c>
    </x:row>
    <x:row r="5" ht="44" customHeight="1">
      <x:c r="A5" s="19" t="str">
        <x:v>公司</x:v>
      </x:c>
      <x:c r="B5" s="19" t="n">
        <x:v>8</x:v>
      </x:c>
      <x:c r="C5" s="19" t="str">
        <x:v>冻结变量</x:v>
      </x:c>
      <x:c r="D5" s="19" t="n">
        <x:v>32</x:v>
      </x:c>
      <x:c r="E5" s="19" t="str">
        <x:v>公司—变量记录</x:v>
      </x:c>
      <x:c r="F5" s="19" t="n">
        <x:v>256</x:v>
      </x:c>
      <x:c r="G5" s="19" t="str">
        <x:v>比例测量</x:v>
      </x:c>
      <x:c r="H5" s="19" t="n">
        <x:v>27</x:v>
      </x:c>
    </x:row>
    <x:row r="6" ht="44" customHeight="1">
      <x:c r="A6" s="20" t="str">
        <x:v>全8家公司变量</x:v>
      </x:c>
      <x:c r="B6" s="20" t="n">
        <x:v>14</x:v>
      </x:c>
      <x:c r="C6" s="20" t="str">
        <x:v>覆盖5—7家变量</x:v>
      </x:c>
      <x:c r="D6" s="20" t="n">
        <x:v>13</x:v>
      </x:c>
      <x:c r="E6" s="20" t="str">
        <x:v>案例型变量</x:v>
      </x:c>
      <x:c r="F6" s="20" t="n">
        <x:v>5</x:v>
      </x:c>
      <x:c r="G6" s="20" t="str">
        <x:v>暂缓变量</x:v>
      </x:c>
      <x:c r="H6" s="20" t="n">
        <x:v>1</x:v>
      </x:c>
    </x:row>
    <x:row r="7" ht="44" customHeight="1">
      <x:c r="A7" s="20" t="str">
        <x:v>研究问题</x:v>
      </x:c>
      <x:c r="B7" s="20" t="n">
        <x:v>12</x:v>
      </x:c>
      <x:c r="C7" s="20" t="str">
        <x:v>分析模块</x:v>
      </x:c>
      <x:c r="D7" s="20" t="n">
        <x:v>6</x:v>
      </x:c>
      <x:c r="E7" s="20" t="str">
        <x:v>学术价值项</x:v>
      </x:c>
      <x:c r="F7" s="20" t="n">
        <x:v>5</x:v>
      </x:c>
      <x:c r="G7" s="20" t="str">
        <x:v>商业价值项</x:v>
      </x:c>
      <x:c r="H7" s="20" t="n">
        <x:v>6</x:v>
      </x:c>
    </x:row>
    <x:row r="8" ht="44" customHeight="1">
      <x:c r="A8" s="21" t="str">
        <x:v>确认PE/VC公司</x:v>
      </x:c>
      <x:c r="B8" s="21" t="n">
        <x:v>3</x:v>
      </x:c>
      <x:c r="C8" s="21" t="str">
        <x:v>无确认PE/VC公司</x:v>
      </x:c>
      <x:c r="D8" s="21" t="n">
        <x:v>5</x:v>
      </x:c>
      <x:c r="E8" s="21" t="str">
        <x:v>正式停止项</x:v>
      </x:c>
      <x:c r="F8" s="21" t="n">
        <x:v>5</x:v>
      </x:c>
      <x:c r="G8" s="21" t="str">
        <x:v>验收</x:v>
      </x:c>
      <x:c r="H8" s="21" t="str">
        <x:v>18项</x:v>
      </x:c>
    </x:row>
    <x:row r="10" ht="42" customHeight="1">
      <x:c r="A10" s="25" t="str">
        <x:v>阶段结论：现有数据已能支持八家公司融资画像、PE/VC有无的探索性分组、三家公司PE/VC进入路径与持股强度案例、融资与老股转让关系案例，以及披露质量与证据可追溯性研究。不能支持统计显著性、因果推断、行业总体代表性或IPO结果解释。下一阶段应实际生成八家公司描述性分析和研究画像，而不是继续无限增加变量。</x:v>
      </x:c>
      <x:c r="B10" s="25"/>
      <x:c r="C10" s="25"/>
      <x:c r="D10" s="25"/>
      <x:c r="E10" s="25"/>
      <x:c r="F10" s="25"/>
      <x:c r="G10" s="25"/>
      <x:c r="H10" s="25"/>
    </x:row>
    <x:row r="11" ht="42" customHeight="1">
      <x:c r="A11" s="25"/>
      <x:c r="B11" s="25"/>
      <x:c r="C11" s="25"/>
      <x:c r="D11" s="25"/>
      <x:c r="E11" s="25"/>
      <x:c r="F11" s="25"/>
      <x:c r="G11" s="25"/>
      <x:c r="H11" s="25"/>
    </x:row>
  </x:sheetData>
  <x:mergeCells>
    <x:mergeCell ref="A1:H1"/>
    <x:mergeCell ref="A2:H2"/>
    <x:mergeCell ref="A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34" hidden="0" customWidth="1"/>
    <x:col min="4" max="4" width="73" hidden="0" customWidth="1"/>
    <x:col min="5" max="5" width="20" hidden="0" customWidth="1"/>
    <x:col min="6" max="6" width="95" hidden="0" customWidth="1"/>
    <x:col min="7" max="7" width="69" hidden="0" customWidth="1"/>
  </x:cols>
  <x:sheetData>
    <x:row r="1" ht="30" customHeight="1">
      <x:c r="A1" s="3" t="str">
        <x:v>输入、数据层与解释边界</x:v>
      </x:c>
      <x:c r="B1" s="3"/>
      <x:c r="C1" s="3"/>
      <x:c r="D1" s="3"/>
      <x:c r="E1" s="3"/>
      <x:c r="F1" s="3"/>
      <x:c r="G1" s="3"/>
    </x:row>
    <x:row r="2" ht="42" customHeight="1">
      <x:c r="A2" s="7" t="str">
        <x:v>原始事实、冻结变量、比例补证和本阶段研究设计严格分层。</x:v>
      </x:c>
      <x:c r="B2" s="7"/>
      <x:c r="C2" s="7"/>
      <x:c r="D2" s="7"/>
      <x:c r="E2" s="7"/>
      <x:c r="F2" s="7"/>
      <x:c r="G2" s="7"/>
    </x:row>
    <x:row r="4" ht="36" customHeight="1">
      <x:c r="A4" s="11" t="str">
        <x:v>层级</x:v>
      </x:c>
      <x:c r="B4" s="11" t="str">
        <x:v>输入</x:v>
      </x:c>
      <x:c r="C4" s="11" t="str">
        <x:v>规模</x:v>
      </x:c>
      <x:c r="D4" s="11" t="str">
        <x:v>本阶段用途</x:v>
      </x:c>
      <x:c r="E4" s="11" t="str">
        <x:v>是否修改</x:v>
      </x:c>
      <x:c r="F4" s="11" t="str">
        <x:v>核心边界</x:v>
      </x:c>
      <x:c r="G4" s="11" t="str">
        <x:v>来源哈希/版本</x:v>
      </x:c>
    </x:row>
    <x:row r="5" ht="72" customHeight="1">
      <x:c r="A5" s="19" t="str">
        <x:v>事实与标准化层</x:v>
      </x:c>
      <x:c r="B5" s="19" t="str">
        <x:v>Week 8八家公司标准数据</x:v>
      </x:c>
      <x:c r="C5" s="19" t="str">
        <x:v>8家公司、9张标准表</x:v>
      </x:c>
      <x:c r="D5" s="19" t="str">
        <x:v>提供公司、事件、主体、交易与证据基础</x:v>
      </x:c>
      <x:c r="E5" s="19" t="str">
        <x:v>否</x:v>
      </x:c>
      <x:c r="F5" s="19" t="str">
        <x:v>null、0、STRUCTURAL_NA严格区分</x:v>
      </x:c>
      <x:c r="G5" s="19" t="str">
        <x:v>24e2ba22dae77bebed52c8d38c146a8c8ca901d85de722ab83bec70eff3932e5</x:v>
      </x:c>
    </x:row>
    <x:row r="6" ht="72" customHeight="1">
      <x:c r="A6" s="20" t="str">
        <x:v>冻结变量层</x:v>
      </x:c>
      <x:c r="B6" s="20" t="str">
        <x:v>Week 9变量可计算性冻结版</x:v>
      </x:c>
      <x:c r="C6" s="20" t="str">
        <x:v>32变量×8公司=256条</x:v>
      </x:c>
      <x:c r="D6" s="20" t="str">
        <x:v>提供公司级融资、PE/VC、转让和质量变量</x:v>
      </x:c>
      <x:c r="E6" s="20" t="str">
        <x:v>否</x:v>
      </x:c>
      <x:c r="F6" s="20" t="str">
        <x:v>3条NOT_COMPUTABLE继续保留</x:v>
      </x:c>
      <x:c r="G6" s="20" t="str">
        <x:v>e9e389fd37f2dc0959428359849163c87176c86cce58b067d6a83336e087dbaa</x:v>
      </x:c>
    </x:row>
    <x:row r="7" ht="72" customHeight="1">
      <x:c r="A7" s="20" t="str">
        <x:v>比例补证层</x:v>
      </x:c>
      <x:c r="B7" s="20" t="str">
        <x:v>Stage 6原始披露补证</x:v>
      </x:c>
      <x:c r="C7" s="20" t="str">
        <x:v>27条唯一测量；6条事件合计</x:v>
      </x:c>
      <x:c r="D7" s="20" t="str">
        <x:v>补充交易完成时点的投资者持股强度</x:v>
      </x:c>
      <x:c r="E7" s="20" t="str">
        <x:v>否</x:v>
      </x:c>
      <x:c r="F7" s="20" t="str">
        <x:v>不跨交易时点相加，不用后续快照倒推</x:v>
      </x:c>
      <x:c r="G7" s="20" t="str">
        <x:v>9fd911fe19b017c8249efd0cec431b6254cd101d8ae13921951dfe45a2f558a9</x:v>
      </x:c>
    </x:row>
    <x:row r="8" ht="72" customHeight="1">
      <x:c r="A8" s="21" t="str">
        <x:v>Stage 7研究设计层</x:v>
      </x:c>
      <x:c r="B8" s="21" t="str">
        <x:v>变量—问题—价值映射</x:v>
      </x:c>
      <x:c r="C8" s="21" t="str">
        <x:v>12个研究问题、6个模块</x:v>
      </x:c>
      <x:c r="D8" s="21" t="str">
        <x:v>定义可执行分析和禁止解释</x:v>
      </x:c>
      <x:c r="E8" s="21" t="str">
        <x:v>新增独立成果</x:v>
      </x:c>
      <x:c r="F8" s="21" t="str">
        <x:v>只用于样本内描述、案例和假设生成</x:v>
      </x:c>
      <x:c r="G8" s="21" t="str">
        <x:v>v1.0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4" hidden="0" customWidth="1"/>
    <x:col min="3" max="3" width="15" hidden="0" customWidth="1"/>
    <x:col min="4" max="4" width="25" hidden="0" customWidth="1"/>
    <x:col min="5" max="5" width="11" hidden="0" customWidth="1"/>
    <x:col min="6" max="6" width="12" hidden="0" customWidth="1"/>
    <x:col min="7" max="7" width="16" hidden="0" customWidth="1"/>
    <x:col min="8" max="8" width="13" hidden="0" customWidth="1"/>
    <x:col min="9" max="9" width="18" hidden="0" customWidth="1"/>
    <x:col min="10" max="10" width="24" hidden="0" customWidth="1"/>
    <x:col min="11" max="11" width="13" hidden="0" customWidth="1"/>
    <x:col min="12" max="12" width="36" hidden="0" customWidth="1"/>
    <x:col min="13" max="13" width="27" hidden="0" customWidth="1"/>
    <x:col min="14" max="14" width="66" hidden="0" customWidth="1"/>
    <x:col min="15" max="15" width="66" hidden="0" customWidth="1"/>
    <x:col min="16" max="16" width="34" hidden="0" customWidth="1"/>
    <x:col min="17" max="17" width="110" hidden="0" customWidth="1"/>
  </x:cols>
  <x:sheetData>
    <x:row r="1" ht="30" customHeight="1">
      <x:c r="A1" s="3" t="str">
        <x:v>32个冻结变量的价值映射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2" customHeight="1">
      <x:c r="A2" s="7" t="str">
        <x:v>每个变量都分配到分析模块，并标明Stage 6持股比例的连接强度、学术/商业用途和可用层次。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6" customHeight="1">
      <x:c r="A4" s="11" t="str">
        <x:v>变量ID</x:v>
      </x:c>
      <x:c r="B4" s="11" t="str">
        <x:v>变量名称</x:v>
      </x:c>
      <x:c r="C4" s="11" t="str">
        <x:v>优先级</x:v>
      </x:c>
      <x:c r="D4" s="11" t="str">
        <x:v>构念</x:v>
      </x:c>
      <x:c r="E4" s="11" t="str">
        <x:v>总N</x:v>
      </x:c>
      <x:c r="F4" s="11" t="str">
        <x:v>有效N</x:v>
      </x:c>
      <x:c r="G4" s="11" t="str">
        <x:v>结构N/A</x:v>
      </x:c>
      <x:c r="H4" s="11" t="str">
        <x:v>缺失N</x:v>
      </x:c>
      <x:c r="I4" s="11" t="str">
        <x:v>原始覆盖率</x:v>
      </x:c>
      <x:c r="J4" s="11" t="str">
        <x:v>Week 9建议</x:v>
      </x:c>
      <x:c r="K4" s="11" t="str">
        <x:v>模块ID</x:v>
      </x:c>
      <x:c r="L4" s="11" t="str">
        <x:v>分析模块</x:v>
      </x:c>
      <x:c r="M4" s="11" t="str">
        <x:v>持股比例连接</x:v>
      </x:c>
      <x:c r="N4" s="11" t="str">
        <x:v>学术用途</x:v>
      </x:c>
      <x:c r="O4" s="11" t="str">
        <x:v>商业用途</x:v>
      </x:c>
      <x:c r="P4" s="11" t="str">
        <x:v>Stage 7状态</x:v>
      </x:c>
      <x:c r="Q4" s="11" t="str">
        <x:v>解释边界</x:v>
      </x:c>
    </x:row>
    <x:row r="5" ht="66" customHeight="1">
      <x:c r="A5" s="19" t="str">
        <x:v>CV001</x:v>
      </x:c>
      <x:c r="B5" s="19" t="str">
        <x:v>上市前直接股权融资发生标记</x:v>
      </x:c>
      <x:c r="C5" s="19" t="str">
        <x:v>A核心</x:v>
      </x:c>
      <x:c r="D5" s="19" t="str">
        <x:v>融资经历</x:v>
      </x:c>
      <x:c r="E5" s="19" t="n">
        <x:v>8</x:v>
      </x:c>
      <x:c r="F5" s="19" t="n">
        <x:v>8</x:v>
      </x:c>
      <x:c r="G5" s="19" t="n">
        <x:v>0</x:v>
      </x:c>
      <x:c r="H5" s="19" t="n">
        <x:v>0</x:v>
      </x:c>
      <x:c r="I5" s="26" t="n">
        <x:v>1</x:v>
      </x:c>
      <x:c r="J5" s="19" t="str">
        <x:v>保留（附条件）</x:v>
      </x:c>
      <x:c r="K5" s="19" t="str">
        <x:v>M01</x:v>
      </x:c>
      <x:c r="L5" s="19" t="str">
        <x:v>融资规模与节奏</x:v>
      </x:c>
      <x:c r="M5" s="19" t="str">
        <x:v>CONTEXTUAL</x:v>
      </x:c>
      <x:c r="N5" s="19" t="str">
        <x:v>描述融资经历、规模与节奏差异</x:v>
      </x:c>
      <x:c r="O5" s="19" t="str">
        <x:v>融资策略基准、轮次节奏和规模核验</x:v>
      </x:c>
      <x:c r="P5" s="19" t="str">
        <x:v>DESCRIPTIVE_ALL_8</x:v>
      </x:c>
      <x:c r="Q5" s="19" t="str">
        <x:v>可覆盖八家公司；仍须遵守：影石创新的0仅代表冻结口径内未识别融资轮，需同时报告历史不可重建限制。</x:v>
      </x:c>
    </x:row>
    <x:row r="6" ht="66" customHeight="1">
      <x:c r="A6" s="20" t="str">
        <x:v>CV002</x:v>
      </x:c>
      <x:c r="B6" s="20" t="str">
        <x:v>上市前直接股权融资轮数</x:v>
      </x:c>
      <x:c r="C6" s="20" t="str">
        <x:v>A核心</x:v>
      </x:c>
      <x:c r="D6" s="20" t="str">
        <x:v>融资频度</x:v>
      </x:c>
      <x:c r="E6" s="20" t="n">
        <x:v>8</x:v>
      </x:c>
      <x:c r="F6" s="20" t="n">
        <x:v>8</x:v>
      </x:c>
      <x:c r="G6" s="20" t="n">
        <x:v>0</x:v>
      </x:c>
      <x:c r="H6" s="20" t="n">
        <x:v>0</x:v>
      </x:c>
      <x:c r="I6" s="27" t="n">
        <x:v>1</x:v>
      </x:c>
      <x:c r="J6" s="20" t="str">
        <x:v>保留（附条件）</x:v>
      </x:c>
      <x:c r="K6" s="20" t="str">
        <x:v>M01</x:v>
      </x:c>
      <x:c r="L6" s="20" t="str">
        <x:v>融资规模与节奏</x:v>
      </x:c>
      <x:c r="M6" s="20" t="str">
        <x:v>CONTEXTUAL</x:v>
      </x:c>
      <x:c r="N6" s="20" t="str">
        <x:v>描述融资经历、规模与节奏差异</x:v>
      </x:c>
      <x:c r="O6" s="20" t="str">
        <x:v>融资策略基准、轮次节奏和规模核验</x:v>
      </x:c>
      <x:c r="P6" s="20" t="str">
        <x:v>DESCRIPTIVE_ALL_8</x:v>
      </x:c>
      <x:c r="Q6" s="20" t="str">
        <x:v>可覆盖八家公司；仍须遵守：轮次可全样本计算，但0轮不等于完整历史从未融资。</x:v>
      </x:c>
    </x:row>
    <x:row r="7" ht="66" customHeight="1">
      <x:c r="A7" s="20" t="str">
        <x:v>CV003</x:v>
      </x:c>
      <x:c r="B7" s="20" t="str">
        <x:v>可核验融资金额下限</x:v>
      </x:c>
      <x:c r="C7" s="20" t="str">
        <x:v>A核心</x:v>
      </x:c>
      <x:c r="D7" s="20" t="str">
        <x:v>融资规模</x:v>
      </x:c>
      <x:c r="E7" s="20" t="n">
        <x:v>8</x:v>
      </x:c>
      <x:c r="F7" s="20" t="n">
        <x:v>7</x:v>
      </x:c>
      <x:c r="G7" s="20" t="n">
        <x:v>0</x:v>
      </x:c>
      <x:c r="H7" s="20" t="n">
        <x:v>1</x:v>
      </x:c>
      <x:c r="I7" s="27" t="n">
        <x:v>0.875</x:v>
      </x:c>
      <x:c r="J7" s="20" t="str">
        <x:v>保留（附条件）</x:v>
      </x:c>
      <x:c r="K7" s="20" t="str">
        <x:v>M01</x:v>
      </x:c>
      <x:c r="L7" s="20" t="str">
        <x:v>融资规模与节奏</x:v>
      </x:c>
      <x:c r="M7" s="20" t="str">
        <x:v>CONTEXTUAL</x:v>
      </x:c>
      <x:c r="N7" s="20" t="str">
        <x:v>描述融资经历、规模与节奏差异</x:v>
      </x:c>
      <x:c r="O7" s="20" t="str">
        <x:v>融资策略基准、轮次节奏和规模核验</x:v>
      </x:c>
      <x:c r="P7" s="20" t="str">
        <x:v>DESCRIPTIVE_MOST_SAMPLE</x:v>
      </x:c>
      <x:c r="Q7" s="20" t="str">
        <x:v>有效N=7；7/8家公司有值，必须联用融资金额状态。</x:v>
      </x:c>
    </x:row>
    <x:row r="8" ht="66" customHeight="1">
      <x:c r="A8" s="20" t="str">
        <x:v>CV004</x:v>
      </x:c>
      <x:c r="B8" s="20" t="str">
        <x:v>融资金额下限对数</x:v>
      </x:c>
      <x:c r="C8" s="20" t="str">
        <x:v>B扩展</x:v>
      </x:c>
      <x:c r="D8" s="20" t="str">
        <x:v>融资规模</x:v>
      </x:c>
      <x:c r="E8" s="20" t="n">
        <x:v>8</x:v>
      </x:c>
      <x:c r="F8" s="20" t="n">
        <x:v>7</x:v>
      </x:c>
      <x:c r="G8" s="20" t="n">
        <x:v>0</x:v>
      </x:c>
      <x:c r="H8" s="20" t="n">
        <x:v>1</x:v>
      </x:c>
      <x:c r="I8" s="27" t="n">
        <x:v>0.875</x:v>
      </x:c>
      <x:c r="J8" s="20" t="str">
        <x:v>保留（附条件）</x:v>
      </x:c>
      <x:c r="K8" s="20" t="str">
        <x:v>M01</x:v>
      </x:c>
      <x:c r="L8" s="20" t="str">
        <x:v>融资规模与节奏</x:v>
      </x:c>
      <x:c r="M8" s="20" t="str">
        <x:v>CONTEXTUAL</x:v>
      </x:c>
      <x:c r="N8" s="20" t="str">
        <x:v>描述融资经历、规模与节奏差异</x:v>
      </x:c>
      <x:c r="O8" s="20" t="str">
        <x:v>融资策略基准、轮次节奏和规模核验</x:v>
      </x:c>
      <x:c r="P8" s="20" t="str">
        <x:v>DESCRIPTIVE_MOST_SAMPLE</x:v>
      </x:c>
      <x:c r="Q8" s="20" t="str">
        <x:v>有效N=7；作为CV003的替代变换，不与原始金额同时堆叠。</x:v>
      </x:c>
    </x:row>
    <x:row r="9" ht="66" customHeight="1">
      <x:c r="A9" s="20" t="str">
        <x:v>CV005</x:v>
      </x:c>
      <x:c r="B9" s="20" t="str">
        <x:v>已知金额轮次均值</x:v>
      </x:c>
      <x:c r="C9" s="20" t="str">
        <x:v>A核心</x:v>
      </x:c>
      <x:c r="D9" s="20" t="str">
        <x:v>单轮融资规模</x:v>
      </x:c>
      <x:c r="E9" s="20" t="n">
        <x:v>8</x:v>
      </x:c>
      <x:c r="F9" s="20" t="n">
        <x:v>7</x:v>
      </x:c>
      <x:c r="G9" s="20" t="n">
        <x:v>1</x:v>
      </x:c>
      <x:c r="H9" s="20" t="n">
        <x:v>0</x:v>
      </x:c>
      <x:c r="I9" s="27" t="n">
        <x:v>0.875</x:v>
      </x:c>
      <x:c r="J9" s="20" t="str">
        <x:v>保留（附条件）</x:v>
      </x:c>
      <x:c r="K9" s="20" t="str">
        <x:v>M01</x:v>
      </x:c>
      <x:c r="L9" s="20" t="str">
        <x:v>融资规模与节奏</x:v>
      </x:c>
      <x:c r="M9" s="20" t="str">
        <x:v>CONTEXTUAL</x:v>
      </x:c>
      <x:c r="N9" s="20" t="str">
        <x:v>描述融资经历、规模与节奏差异</x:v>
      </x:c>
      <x:c r="O9" s="20" t="str">
        <x:v>融资策略基准、轮次节奏和规模核验</x:v>
      </x:c>
      <x:c r="P9" s="20" t="str">
        <x:v>DESCRIPTIVE_MOST_SAMPLE</x:v>
      </x:c>
      <x:c r="Q9" s="20" t="str">
        <x:v>有效N=7；仅解释已知金额轮次，并联用CV028。</x:v>
      </x:c>
    </x:row>
    <x:row r="10" ht="66" customHeight="1">
      <x:c r="A10" s="20" t="str">
        <x:v>CV006</x:v>
      </x:c>
      <x:c r="B10" s="20" t="str">
        <x:v>已知金额轮次中位数</x:v>
      </x:c>
      <x:c r="C10" s="20" t="str">
        <x:v>B扩展</x:v>
      </x:c>
      <x:c r="D10" s="20" t="str">
        <x:v>单轮融资规模</x:v>
      </x:c>
      <x:c r="E10" s="20" t="n">
        <x:v>8</x:v>
      </x:c>
      <x:c r="F10" s="20" t="n">
        <x:v>7</x:v>
      </x:c>
      <x:c r="G10" s="20" t="n">
        <x:v>1</x:v>
      </x:c>
      <x:c r="H10" s="20" t="n">
        <x:v>0</x:v>
      </x:c>
      <x:c r="I10" s="27" t="n">
        <x:v>0.875</x:v>
      </x:c>
      <x:c r="J10" s="20" t="str">
        <x:v>保留（附条件）</x:v>
      </x:c>
      <x:c r="K10" s="20" t="str">
        <x:v>M01</x:v>
      </x:c>
      <x:c r="L10" s="20" t="str">
        <x:v>融资规模与节奏</x:v>
      </x:c>
      <x:c r="M10" s="20" t="str">
        <x:v>CONTEXTUAL</x:v>
      </x:c>
      <x:c r="N10" s="20" t="str">
        <x:v>描述融资经历、规模与节奏差异</x:v>
      </x:c>
      <x:c r="O10" s="20" t="str">
        <x:v>融资策略基准、轮次节奏和规模核验</x:v>
      </x:c>
      <x:c r="P10" s="20" t="str">
        <x:v>DESCRIPTIVE_MOST_SAMPLE</x:v>
      </x:c>
      <x:c r="Q10" s="20" t="str">
        <x:v>有效N=7；仅解释已知金额轮次；小轮数公司的中位数稳定性有限。</x:v>
      </x:c>
    </x:row>
    <x:row r="11" ht="66" customHeight="1">
      <x:c r="A11" s="20" t="str">
        <x:v>CV007</x:v>
      </x:c>
      <x:c r="B11" s="20" t="str">
        <x:v>最大已知单轮融资金额</x:v>
      </x:c>
      <x:c r="C11" s="20" t="str">
        <x:v>B扩展</x:v>
      </x:c>
      <x:c r="D11" s="20" t="str">
        <x:v>融资峰值</x:v>
      </x:c>
      <x:c r="E11" s="20" t="n">
        <x:v>8</x:v>
      </x:c>
      <x:c r="F11" s="20" t="n">
        <x:v>7</x:v>
      </x:c>
      <x:c r="G11" s="20" t="n">
        <x:v>1</x:v>
      </x:c>
      <x:c r="H11" s="20" t="n">
        <x:v>0</x:v>
      </x:c>
      <x:c r="I11" s="27" t="n">
        <x:v>0.875</x:v>
      </x:c>
      <x:c r="J11" s="20" t="str">
        <x:v>保留（附条件）</x:v>
      </x:c>
      <x:c r="K11" s="20" t="str">
        <x:v>M01</x:v>
      </x:c>
      <x:c r="L11" s="20" t="str">
        <x:v>融资规模与节奏</x:v>
      </x:c>
      <x:c r="M11" s="20" t="str">
        <x:v>CONTEXTUAL</x:v>
      </x:c>
      <x:c r="N11" s="20" t="str">
        <x:v>描述融资经历、规模与节奏差异</x:v>
      </x:c>
      <x:c r="O11" s="20" t="str">
        <x:v>融资策略基准、轮次节奏和规模核验</x:v>
      </x:c>
      <x:c r="P11" s="20" t="str">
        <x:v>DESCRIPTIVE_MOST_SAMPLE</x:v>
      </x:c>
      <x:c r="Q11" s="20" t="str">
        <x:v>有效N=7；最大已知轮不一定是真实最大轮，需联用CV028。</x:v>
      </x:c>
    </x:row>
    <x:row r="12" ht="66" customHeight="1">
      <x:c r="A12" s="20" t="str">
        <x:v>CV008</x:v>
      </x:c>
      <x:c r="B12" s="20" t="str">
        <x:v>最大已知轮金额占比</x:v>
      </x:c>
      <x:c r="C12" s="20" t="str">
        <x:v>B扩展</x:v>
      </x:c>
      <x:c r="D12" s="20" t="str">
        <x:v>融资集中度</x:v>
      </x:c>
      <x:c r="E12" s="20" t="n">
        <x:v>8</x:v>
      </x:c>
      <x:c r="F12" s="20" t="n">
        <x:v>7</x:v>
      </x:c>
      <x:c r="G12" s="20" t="n">
        <x:v>1</x:v>
      </x:c>
      <x:c r="H12" s="20" t="n">
        <x:v>0</x:v>
      </x:c>
      <x:c r="I12" s="27" t="n">
        <x:v>0.875</x:v>
      </x:c>
      <x:c r="J12" s="20" t="str">
        <x:v>保留（附条件）</x:v>
      </x:c>
      <x:c r="K12" s="20" t="str">
        <x:v>M01</x:v>
      </x:c>
      <x:c r="L12" s="20" t="str">
        <x:v>融资规模与节奏</x:v>
      </x:c>
      <x:c r="M12" s="20" t="str">
        <x:v>CONTEXTUAL</x:v>
      </x:c>
      <x:c r="N12" s="20" t="str">
        <x:v>描述融资经历、规模与节奏差异</x:v>
      </x:c>
      <x:c r="O12" s="20" t="str">
        <x:v>融资策略基准、轮次节奏和规模核验</x:v>
      </x:c>
      <x:c r="P12" s="20" t="str">
        <x:v>DESCRIPTIVE_MOST_SAMPLE</x:v>
      </x:c>
      <x:c r="Q12" s="20" t="str">
        <x:v>有效N=7；分母限定为已知事件锚点金额，不与公司层金额混用。</x:v>
      </x:c>
    </x:row>
    <x:row r="13" ht="66" customHeight="1">
      <x:c r="A13" s="20" t="str">
        <x:v>CV009</x:v>
      </x:c>
      <x:c r="B13" s="20" t="str">
        <x:v>融资时间跨度</x:v>
      </x:c>
      <x:c r="C13" s="20" t="str">
        <x:v>A核心</x:v>
      </x:c>
      <x:c r="D13" s="20" t="str">
        <x:v>融资节奏</x:v>
      </x:c>
      <x:c r="E13" s="20" t="n">
        <x:v>8</x:v>
      </x:c>
      <x:c r="F13" s="20" t="n">
        <x:v>5</x:v>
      </x:c>
      <x:c r="G13" s="20" t="n">
        <x:v>3</x:v>
      </x:c>
      <x:c r="H13" s="20" t="n">
        <x:v>0</x:v>
      </x:c>
      <x:c r="I13" s="27" t="n">
        <x:v>0.625</x:v>
      </x:c>
      <x:c r="J13" s="20" t="str">
        <x:v>保留（附条件）</x:v>
      </x:c>
      <x:c r="K13" s="20" t="str">
        <x:v>M01</x:v>
      </x:c>
      <x:c r="L13" s="20" t="str">
        <x:v>融资规模与节奏</x:v>
      </x:c>
      <x:c r="M13" s="20" t="str">
        <x:v>CONTEXTUAL</x:v>
      </x:c>
      <x:c r="N13" s="20" t="str">
        <x:v>描述融资经历、规模与节奏差异</x:v>
      </x:c>
      <x:c r="O13" s="20" t="str">
        <x:v>融资策略基准、轮次节奏和规模核验</x:v>
      </x:c>
      <x:c r="P13" s="20" t="str">
        <x:v>DESCRIPTIVE_MOST_SAMPLE</x:v>
      </x:c>
      <x:c r="Q13" s="20" t="str">
        <x:v>有效N=5；只适用于至少2轮且日期可用的公司。</x:v>
      </x:c>
    </x:row>
    <x:row r="14" ht="66" customHeight="1">
      <x:c r="A14" s="20" t="str">
        <x:v>CV010</x:v>
      </x:c>
      <x:c r="B14" s="20" t="str">
        <x:v>融资轮次间隔中位数</x:v>
      </x:c>
      <x:c r="C14" s="20" t="str">
        <x:v>B扩展</x:v>
      </x:c>
      <x:c r="D14" s="20" t="str">
        <x:v>融资节奏</x:v>
      </x:c>
      <x:c r="E14" s="20" t="n">
        <x:v>8</x:v>
      </x:c>
      <x:c r="F14" s="20" t="n">
        <x:v>5</x:v>
      </x:c>
      <x:c r="G14" s="20" t="n">
        <x:v>3</x:v>
      </x:c>
      <x:c r="H14" s="20" t="n">
        <x:v>0</x:v>
      </x:c>
      <x:c r="I14" s="27" t="n">
        <x:v>0.625</x:v>
      </x:c>
      <x:c r="J14" s="20" t="str">
        <x:v>保留（附条件）</x:v>
      </x:c>
      <x:c r="K14" s="20" t="str">
        <x:v>M01</x:v>
      </x:c>
      <x:c r="L14" s="20" t="str">
        <x:v>融资规模与节奏</x:v>
      </x:c>
      <x:c r="M14" s="20" t="str">
        <x:v>CONTEXTUAL</x:v>
      </x:c>
      <x:c r="N14" s="20" t="str">
        <x:v>描述融资经历、规模与节奏差异</x:v>
      </x:c>
      <x:c r="O14" s="20" t="str">
        <x:v>融资策略基准、轮次节奏和规模核验</x:v>
      </x:c>
      <x:c r="P14" s="20" t="str">
        <x:v>DESCRIPTIVE_MOST_SAMPLE</x:v>
      </x:c>
      <x:c r="Q14" s="20" t="str">
        <x:v>有效N=5；只适用于至少2轮且日期可用的公司。</x:v>
      </x:c>
    </x:row>
    <x:row r="15" ht="66" customHeight="1">
      <x:c r="A15" s="20" t="str">
        <x:v>CV011</x:v>
      </x:c>
      <x:c r="B15" s="20" t="str">
        <x:v>确认PE/VC参与标记</x:v>
      </x:c>
      <x:c r="C15" s="20" t="str">
        <x:v>A核心</x:v>
      </x:c>
      <x:c r="D15" s="20" t="str">
        <x:v>PEVC参与</x:v>
      </x:c>
      <x:c r="E15" s="20" t="n">
        <x:v>8</x:v>
      </x:c>
      <x:c r="F15" s="20" t="n">
        <x:v>8</x:v>
      </x:c>
      <x:c r="G15" s="20" t="n">
        <x:v>0</x:v>
      </x:c>
      <x:c r="H15" s="20" t="n">
        <x:v>0</x:v>
      </x:c>
      <x:c r="I15" s="27" t="n">
        <x:v>1</x:v>
      </x:c>
      <x:c r="J15" s="20" t="str">
        <x:v>保留</x:v>
      </x:c>
      <x:c r="K15" s="20" t="str">
        <x:v>M02</x:v>
      </x:c>
      <x:c r="L15" s="20" t="str">
        <x:v>PE/VC参与、时点与路径</x:v>
      </x:c>
      <x:c r="M15" s="20" t="str">
        <x:v>DIRECT_STRONG</x:v>
      </x:c>
      <x:c r="N15" s="20" t="str">
        <x:v>描述PE/VC参与强度、进入时点和路径机制</x:v>
      </x:c>
      <x:c r="O15" s="20" t="str">
        <x:v>机构进入时点、持股强度和路径尽调</x:v>
      </x:c>
      <x:c r="P15" s="20" t="str">
        <x:v>DESCRIPTIVE_ALL_8</x:v>
      </x:c>
      <x:c r="Q15" s="20" t="str">
        <x:v>可覆盖八家公司；仍须遵守：8家公司均可计算，适合最基本PE/VC分组。</x:v>
      </x:c>
    </x:row>
    <x:row r="16" ht="66" customHeight="1">
      <x:c r="A16" s="20" t="str">
        <x:v>CV012</x:v>
      </x:c>
      <x:c r="B16" s="20" t="str">
        <x:v>确认PE/VC法律主体数</x:v>
      </x:c>
      <x:c r="C16" s="20" t="str">
        <x:v>A核心</x:v>
      </x:c>
      <x:c r="D16" s="20" t="str">
        <x:v>PEVC参与</x:v>
      </x:c>
      <x:c r="E16" s="20" t="n">
        <x:v>8</x:v>
      </x:c>
      <x:c r="F16" s="20" t="n">
        <x:v>8</x:v>
      </x:c>
      <x:c r="G16" s="20" t="n">
        <x:v>0</x:v>
      </x:c>
      <x:c r="H16" s="20" t="n">
        <x:v>0</x:v>
      </x:c>
      <x:c r="I16" s="27" t="n">
        <x:v>1</x:v>
      </x:c>
      <x:c r="J16" s="20" t="str">
        <x:v>保留</x:v>
      </x:c>
      <x:c r="K16" s="20" t="str">
        <x:v>M02</x:v>
      </x:c>
      <x:c r="L16" s="20" t="str">
        <x:v>PE/VC参与、时点与路径</x:v>
      </x:c>
      <x:c r="M16" s="20" t="str">
        <x:v>DIRECT_STRONG</x:v>
      </x:c>
      <x:c r="N16" s="20" t="str">
        <x:v>描述PE/VC参与强度、进入时点和路径机制</x:v>
      </x:c>
      <x:c r="O16" s="20" t="str">
        <x:v>机构进入时点、持股强度和路径尽调</x:v>
      </x:c>
      <x:c r="P16" s="20" t="str">
        <x:v>DESCRIPTIVE_ALL_8</x:v>
      </x:c>
      <x:c r="Q16" s="20" t="str">
        <x:v>可覆盖八家公司；仍须遵守：8家公司均可计算，但法律主体数不等于投资体系数。</x:v>
      </x:c>
    </x:row>
    <x:row r="17" ht="66" customHeight="1">
      <x:c r="A17" s="20" t="str">
        <x:v>CV013</x:v>
      </x:c>
      <x:c r="B17" s="20" t="str">
        <x:v>确认PE/VC占直接主体比重</x:v>
      </x:c>
      <x:c r="C17" s="20" t="str">
        <x:v>B扩展</x:v>
      </x:c>
      <x:c r="D17" s="20" t="str">
        <x:v>PEVC参与</x:v>
      </x:c>
      <x:c r="E17" s="20" t="n">
        <x:v>8</x:v>
      </x:c>
      <x:c r="F17" s="20" t="n">
        <x:v>8</x:v>
      </x:c>
      <x:c r="G17" s="20" t="n">
        <x:v>0</x:v>
      </x:c>
      <x:c r="H17" s="20" t="n">
        <x:v>0</x:v>
      </x:c>
      <x:c r="I17" s="27" t="n">
        <x:v>1</x:v>
      </x:c>
      <x:c r="J17" s="20" t="str">
        <x:v>保留</x:v>
      </x:c>
      <x:c r="K17" s="20" t="str">
        <x:v>M02</x:v>
      </x:c>
      <x:c r="L17" s="20" t="str">
        <x:v>PE/VC参与、时点与路径</x:v>
      </x:c>
      <x:c r="M17" s="20" t="str">
        <x:v>DIRECT_STRONG</x:v>
      </x:c>
      <x:c r="N17" s="20" t="str">
        <x:v>描述PE/VC参与强度、进入时点和路径机制</x:v>
      </x:c>
      <x:c r="O17" s="20" t="str">
        <x:v>机构进入时点、持股强度和路径尽调</x:v>
      </x:c>
      <x:c r="P17" s="20" t="str">
        <x:v>DESCRIPTIVE_ALL_8</x:v>
      </x:c>
      <x:c r="Q17" s="20" t="str">
        <x:v>可覆盖八家公司；仍须遵守：8家公司均可计算，用于相对主体规模比较。</x:v>
      </x:c>
    </x:row>
    <x:row r="18" ht="66" customHeight="1">
      <x:c r="A18" s="20" t="str">
        <x:v>CV014</x:v>
      </x:c>
      <x:c r="B18" s="20" t="str">
        <x:v>确认PE/VC参与融资轮数</x:v>
      </x:c>
      <x:c r="C18" s="20" t="str">
        <x:v>B扩展</x:v>
      </x:c>
      <x:c r="D18" s="20" t="str">
        <x:v>PEVC参与深度</x:v>
      </x:c>
      <x:c r="E18" s="20" t="n">
        <x:v>8</x:v>
      </x:c>
      <x:c r="F18" s="20" t="n">
        <x:v>8</x:v>
      </x:c>
      <x:c r="G18" s="20" t="n">
        <x:v>0</x:v>
      </x:c>
      <x:c r="H18" s="20" t="n">
        <x:v>0</x:v>
      </x:c>
      <x:c r="I18" s="27" t="n">
        <x:v>1</x:v>
      </x:c>
      <x:c r="J18" s="20" t="str">
        <x:v>保留（附条件）</x:v>
      </x:c>
      <x:c r="K18" s="20" t="str">
        <x:v>M02</x:v>
      </x:c>
      <x:c r="L18" s="20" t="str">
        <x:v>PE/VC参与、时点与路径</x:v>
      </x:c>
      <x:c r="M18" s="20" t="str">
        <x:v>DIRECT_STRONG</x:v>
      </x:c>
      <x:c r="N18" s="20" t="str">
        <x:v>描述PE/VC参与强度、进入时点和路径机制</x:v>
      </x:c>
      <x:c r="O18" s="20" t="str">
        <x:v>机构进入时点、持股强度和路径尽调</x:v>
      </x:c>
      <x:c r="P18" s="20" t="str">
        <x:v>DESCRIPTIVE_ALL_8</x:v>
      </x:c>
      <x:c r="Q18" s="20" t="str">
        <x:v>可覆盖八家公司；仍须遵守：8家公司均可计算；仅3家公司存在确认PE/VC，适合描述参与深度，不支持小样本推断。</x:v>
      </x:c>
    </x:row>
    <x:row r="19" ht="66" customHeight="1">
      <x:c r="A19" s="20" t="str">
        <x:v>CV015</x:v>
      </x:c>
      <x:c r="B19" s="20" t="str">
        <x:v>首次确认PE/VC进入日期</x:v>
      </x:c>
      <x:c r="C19" s="20" t="str">
        <x:v>A核心</x:v>
      </x:c>
      <x:c r="D19" s="20" t="str">
        <x:v>PEVC进入时点</x:v>
      </x:c>
      <x:c r="E19" s="20" t="n">
        <x:v>8</x:v>
      </x:c>
      <x:c r="F19" s="20" t="n">
        <x:v>3</x:v>
      </x:c>
      <x:c r="G19" s="20" t="n">
        <x:v>5</x:v>
      </x:c>
      <x:c r="H19" s="20" t="n">
        <x:v>0</x:v>
      </x:c>
      <x:c r="I19" s="27" t="n">
        <x:v>0.375</x:v>
      </x:c>
      <x:c r="J19" s="20" t="str">
        <x:v>仅案例分析</x:v>
      </x:c>
      <x:c r="K19" s="20" t="str">
        <x:v>M02</x:v>
      </x:c>
      <x:c r="L19" s="20" t="str">
        <x:v>PE/VC参与、时点与路径</x:v>
      </x:c>
      <x:c r="M19" s="20" t="str">
        <x:v>DIRECT_STRONG</x:v>
      </x:c>
      <x:c r="N19" s="20" t="str">
        <x:v>描述PE/VC参与强度、进入时点和路径机制</x:v>
      </x:c>
      <x:c r="O19" s="20" t="str">
        <x:v>机构进入时点、持股强度和路径尽调</x:v>
      </x:c>
      <x:c r="P19" s="20" t="str">
        <x:v>CASE_ONLY</x:v>
      </x:c>
      <x:c r="Q19" s="20" t="str">
        <x:v>有效N=3；3家有确认PE/VC且均可识别进入日期，但适用公司仅3家。</x:v>
      </x:c>
    </x:row>
    <x:row r="20" ht="66" customHeight="1">
      <x:c r="A20" s="20" t="str">
        <x:v>CV016</x:v>
      </x:c>
      <x:c r="B20" s="20" t="str">
        <x:v>首次确认PE/VC进入年份</x:v>
      </x:c>
      <x:c r="C20" s="20" t="str">
        <x:v>B扩展</x:v>
      </x:c>
      <x:c r="D20" s="20" t="str">
        <x:v>PEVC进入时点</x:v>
      </x:c>
      <x:c r="E20" s="20" t="n">
        <x:v>8</x:v>
      </x:c>
      <x:c r="F20" s="20" t="n">
        <x:v>3</x:v>
      </x:c>
      <x:c r="G20" s="20" t="n">
        <x:v>5</x:v>
      </x:c>
      <x:c r="H20" s="20" t="n">
        <x:v>0</x:v>
      </x:c>
      <x:c r="I20" s="27" t="n">
        <x:v>0.375</x:v>
      </x:c>
      <x:c r="J20" s="20" t="str">
        <x:v>仅案例分析</x:v>
      </x:c>
      <x:c r="K20" s="20" t="str">
        <x:v>M02</x:v>
      </x:c>
      <x:c r="L20" s="20" t="str">
        <x:v>PE/VC参与、时点与路径</x:v>
      </x:c>
      <x:c r="M20" s="20" t="str">
        <x:v>DIRECT_STRONG</x:v>
      </x:c>
      <x:c r="N20" s="20" t="str">
        <x:v>描述PE/VC参与强度、进入时点和路径机制</x:v>
      </x:c>
      <x:c r="O20" s="20" t="str">
        <x:v>机构进入时点、持股强度和路径尽调</x:v>
      </x:c>
      <x:c r="P20" s="20" t="str">
        <x:v>CASE_ONLY</x:v>
      </x:c>
      <x:c r="Q20" s="20" t="str">
        <x:v>有效N=3；3家有确认PE/VC且年份可用，用作路径叙事或案例选择锚点。</x:v>
      </x:c>
    </x:row>
    <x:row r="21" ht="66" customHeight="1">
      <x:c r="A21" s="20" t="str">
        <x:v>CV017</x:v>
      </x:c>
      <x:c r="B21" s="20" t="str">
        <x:v>首次确认PE/VC融资轮位置</x:v>
      </x:c>
      <x:c r="C21" s="20" t="str">
        <x:v>B扩展</x:v>
      </x:c>
      <x:c r="D21" s="20" t="str">
        <x:v>PEVC进入时点</x:v>
      </x:c>
      <x:c r="E21" s="20" t="n">
        <x:v>8</x:v>
      </x:c>
      <x:c r="F21" s="20" t="n">
        <x:v>3</x:v>
      </x:c>
      <x:c r="G21" s="20" t="n">
        <x:v>5</x:v>
      </x:c>
      <x:c r="H21" s="20" t="n">
        <x:v>0</x:v>
      </x:c>
      <x:c r="I21" s="27" t="n">
        <x:v>0.375</x:v>
      </x:c>
      <x:c r="J21" s="20" t="str">
        <x:v>仅案例分析</x:v>
      </x:c>
      <x:c r="K21" s="20" t="str">
        <x:v>M02</x:v>
      </x:c>
      <x:c r="L21" s="20" t="str">
        <x:v>PE/VC参与、时点与路径</x:v>
      </x:c>
      <x:c r="M21" s="20" t="str">
        <x:v>DIRECT_STRONG</x:v>
      </x:c>
      <x:c r="N21" s="20" t="str">
        <x:v>描述PE/VC参与强度、进入时点和路径机制</x:v>
      </x:c>
      <x:c r="O21" s="20" t="str">
        <x:v>机构进入时点、持股强度和路径尽调</x:v>
      </x:c>
      <x:c r="P21" s="20" t="str">
        <x:v>CASE_ONLY</x:v>
      </x:c>
      <x:c r="Q21" s="20" t="str">
        <x:v>有效N=3；3家有确认PE/VC且可计算轮次位置；纯转让进入时该指标仍不适用。</x:v>
      </x:c>
    </x:row>
    <x:row r="22" ht="66" customHeight="1">
      <x:c r="A22" s="20" t="str">
        <x:v>CV018</x:v>
      </x:c>
      <x:c r="B22" s="20" t="str">
        <x:v>确认PE/VC间接路径标记</x:v>
      </x:c>
      <x:c r="C22" s="20" t="str">
        <x:v>B扩展</x:v>
      </x:c>
      <x:c r="D22" s="20" t="str">
        <x:v>投资路径复杂度</x:v>
      </x:c>
      <x:c r="E22" s="20" t="n">
        <x:v>8</x:v>
      </x:c>
      <x:c r="F22" s="20" t="n">
        <x:v>8</x:v>
      </x:c>
      <x:c r="G22" s="20" t="n">
        <x:v>0</x:v>
      </x:c>
      <x:c r="H22" s="20" t="n">
        <x:v>0</x:v>
      </x:c>
      <x:c r="I22" s="27" t="n">
        <x:v>1</x:v>
      </x:c>
      <x:c r="J22" s="20" t="str">
        <x:v>保留（附条件）</x:v>
      </x:c>
      <x:c r="K22" s="20" t="str">
        <x:v>M02</x:v>
      </x:c>
      <x:c r="L22" s="20" t="str">
        <x:v>PE/VC参与、时点与路径</x:v>
      </x:c>
      <x:c r="M22" s="20" t="str">
        <x:v>DIRECT_STRONG</x:v>
      </x:c>
      <x:c r="N22" s="20" t="str">
        <x:v>描述PE/VC参与强度、进入时点和路径机制</x:v>
      </x:c>
      <x:c r="O22" s="20" t="str">
        <x:v>机构进入时点、持股强度和路径尽调</x:v>
      </x:c>
      <x:c r="P22" s="20" t="str">
        <x:v>DESCRIPTIVE_ALL_8</x:v>
      </x:c>
      <x:c r="Q22" s="20" t="str">
        <x:v>可覆盖八家公司；仍须遵守：8家公司均可计算；无PE/VC公司为逻辑0，三协电机的0依赖补充路径完整覆盖。</x:v>
      </x:c>
    </x:row>
    <x:row r="23" ht="66" customHeight="1">
      <x:c r="A23" s="20" t="str">
        <x:v>CV019</x:v>
      </x:c>
      <x:c r="B23" s="20" t="str">
        <x:v>确认PE/VC进入方式多样性</x:v>
      </x:c>
      <x:c r="C23" s="20" t="str">
        <x:v>B扩展</x:v>
      </x:c>
      <x:c r="D23" s="20" t="str">
        <x:v>PEVC进入方式</x:v>
      </x:c>
      <x:c r="E23" s="20" t="n">
        <x:v>8</x:v>
      </x:c>
      <x:c r="F23" s="20" t="n">
        <x:v>8</x:v>
      </x:c>
      <x:c r="G23" s="20" t="n">
        <x:v>0</x:v>
      </x:c>
      <x:c r="H23" s="20" t="n">
        <x:v>0</x:v>
      </x:c>
      <x:c r="I23" s="27" t="n">
        <x:v>1</x:v>
      </x:c>
      <x:c r="J23" s="20" t="str">
        <x:v>保留（附条件）</x:v>
      </x:c>
      <x:c r="K23" s="20" t="str">
        <x:v>M02</x:v>
      </x:c>
      <x:c r="L23" s="20" t="str">
        <x:v>PE/VC参与、时点与路径</x:v>
      </x:c>
      <x:c r="M23" s="20" t="str">
        <x:v>DIRECT_STRONG</x:v>
      </x:c>
      <x:c r="N23" s="20" t="str">
        <x:v>描述PE/VC参与强度、进入时点和路径机制</x:v>
      </x:c>
      <x:c r="O23" s="20" t="str">
        <x:v>机构进入时点、持股强度和路径尽调</x:v>
      </x:c>
      <x:c r="P23" s="20" t="str">
        <x:v>DESCRIPTIVE_ALL_8</x:v>
      </x:c>
      <x:c r="Q23" s="20" t="str">
        <x:v>可覆盖八家公司；仍须遵守：8家公司均可计算；进入方式种类不代表融资轮次、金额或路径深度。</x:v>
      </x:c>
    </x:row>
    <x:row r="24" ht="66" customHeight="1">
      <x:c r="A24" s="20" t="str">
        <x:v>CV020</x:v>
      </x:c>
      <x:c r="B24" s="20" t="str">
        <x:v>直接参与法律主体数</x:v>
      </x:c>
      <x:c r="C24" s="20" t="str">
        <x:v>A核心</x:v>
      </x:c>
      <x:c r="D24" s="20" t="str">
        <x:v>参与结构规模</x:v>
      </x:c>
      <x:c r="E24" s="20" t="n">
        <x:v>8</x:v>
      </x:c>
      <x:c r="F24" s="20" t="n">
        <x:v>8</x:v>
      </x:c>
      <x:c r="G24" s="20" t="n">
        <x:v>0</x:v>
      </x:c>
      <x:c r="H24" s="20" t="n">
        <x:v>0</x:v>
      </x:c>
      <x:c r="I24" s="27" t="n">
        <x:v>1</x:v>
      </x:c>
      <x:c r="J24" s="20" t="str">
        <x:v>保留</x:v>
      </x:c>
      <x:c r="K24" s="20" t="str">
        <x:v>M03</x:v>
      </x:c>
      <x:c r="L24" s="20" t="str">
        <x:v>投资者结构与共同投资</x:v>
      </x:c>
      <x:c r="M24" s="20" t="str">
        <x:v>DIRECT_SUPPORTING</x:v>
      </x:c>
      <x:c r="N24" s="20" t="str">
        <x:v>描述共同投资、主体广度与参与密度</x:v>
      </x:c>
      <x:c r="O24" s="20" t="str">
        <x:v>投资者结构、共投复杂度与关系网络</x:v>
      </x:c>
      <x:c r="P24" s="20" t="str">
        <x:v>DESCRIPTIVE_ALL_8</x:v>
      </x:c>
      <x:c r="Q24" s="20" t="str">
        <x:v>可覆盖八家公司；仍须遵守：8家公司均可使用，但不等于投资体系或当前股东数。</x:v>
      </x:c>
    </x:row>
    <x:row r="25" ht="66" customHeight="1">
      <x:c r="A25" s="20" t="str">
        <x:v>CV021</x:v>
      </x:c>
      <x:c r="B25" s="20" t="str">
        <x:v>融资投资方法律主体数</x:v>
      </x:c>
      <x:c r="C25" s="20" t="str">
        <x:v>B扩展</x:v>
      </x:c>
      <x:c r="D25" s="20" t="str">
        <x:v>融资参与广度</x:v>
      </x:c>
      <x:c r="E25" s="20" t="n">
        <x:v>8</x:v>
      </x:c>
      <x:c r="F25" s="20" t="n">
        <x:v>8</x:v>
      </x:c>
      <x:c r="G25" s="20" t="n">
        <x:v>0</x:v>
      </x:c>
      <x:c r="H25" s="20" t="n">
        <x:v>0</x:v>
      </x:c>
      <x:c r="I25" s="27" t="n">
        <x:v>1</x:v>
      </x:c>
      <x:c r="J25" s="20" t="str">
        <x:v>保留（附条件）</x:v>
      </x:c>
      <x:c r="K25" s="20" t="str">
        <x:v>M03</x:v>
      </x:c>
      <x:c r="L25" s="20" t="str">
        <x:v>投资者结构与共同投资</x:v>
      </x:c>
      <x:c r="M25" s="20" t="str">
        <x:v>DIRECT_SUPPORTING</x:v>
      </x:c>
      <x:c r="N25" s="20" t="str">
        <x:v>描述共同投资、主体广度与参与密度</x:v>
      </x:c>
      <x:c r="O25" s="20" t="str">
        <x:v>投资者结构、共投复杂度与关系网络</x:v>
      </x:c>
      <x:c r="P25" s="20" t="str">
        <x:v>DESCRIPTIVE_ALL_8</x:v>
      </x:c>
      <x:c r="Q25" s="20" t="str">
        <x:v>可覆盖八家公司；仍须遵守：8家公司均可计算；云汉使用研究层角色映射，黄山使用披露简称补充主体。</x:v>
      </x:c>
    </x:row>
    <x:row r="26" ht="66" customHeight="1">
      <x:c r="A26" s="20" t="str">
        <x:v>CV022</x:v>
      </x:c>
      <x:c r="B26" s="20" t="str">
        <x:v>每轮融资投资方密度</x:v>
      </x:c>
      <x:c r="C26" s="20" t="str">
        <x:v>B扩展</x:v>
      </x:c>
      <x:c r="D26" s="20" t="str">
        <x:v>融资参与密度</x:v>
      </x:c>
      <x:c r="E26" s="20" t="n">
        <x:v>8</x:v>
      </x:c>
      <x:c r="F26" s="20" t="n">
        <x:v>7</x:v>
      </x:c>
      <x:c r="G26" s="20" t="n">
        <x:v>1</x:v>
      </x:c>
      <x:c r="H26" s="20" t="n">
        <x:v>0</x:v>
      </x:c>
      <x:c r="I26" s="27" t="n">
        <x:v>0.875</x:v>
      </x:c>
      <x:c r="J26" s="20" t="str">
        <x:v>保留（附条件）</x:v>
      </x:c>
      <x:c r="K26" s="20" t="str">
        <x:v>M03</x:v>
      </x:c>
      <x:c r="L26" s="20" t="str">
        <x:v>投资者结构与共同投资</x:v>
      </x:c>
      <x:c r="M26" s="20" t="str">
        <x:v>DIRECT_SUPPORTING</x:v>
      </x:c>
      <x:c r="N26" s="20" t="str">
        <x:v>描述共同投资、主体广度与参与密度</x:v>
      </x:c>
      <x:c r="O26" s="20" t="str">
        <x:v>投资者结构、共投复杂度与关系网络</x:v>
      </x:c>
      <x:c r="P26" s="20" t="str">
        <x:v>DESCRIPTIVE_MOST_SAMPLE</x:v>
      </x:c>
      <x:c r="Q26" s="20" t="str">
        <x:v>有效N=7；7个适用公司均可计算；影石创新无冻结融资轮，属于结构性不适用。</x:v>
      </x:c>
    </x:row>
    <x:row r="27" ht="66" customHeight="1">
      <x:c r="A27" s="20" t="str">
        <x:v>CV023</x:v>
      </x:c>
      <x:c r="B27" s="20" t="str">
        <x:v>融资方式多样性</x:v>
      </x:c>
      <x:c r="C27" s="20" t="str">
        <x:v>B扩展</x:v>
      </x:c>
      <x:c r="D27" s="20" t="str">
        <x:v>融资机制</x:v>
      </x:c>
      <x:c r="E27" s="20" t="n">
        <x:v>8</x:v>
      </x:c>
      <x:c r="F27" s="20" t="n">
        <x:v>8</x:v>
      </x:c>
      <x:c r="G27" s="20" t="n">
        <x:v>0</x:v>
      </x:c>
      <x:c r="H27" s="20" t="n">
        <x:v>0</x:v>
      </x:c>
      <x:c r="I27" s="27" t="n">
        <x:v>1</x:v>
      </x:c>
      <x:c r="J27" s="20" t="str">
        <x:v>暂缓</x:v>
      </x:c>
      <x:c r="K27" s="20" t="str">
        <x:v>M03</x:v>
      </x:c>
      <x:c r="L27" s="20" t="str">
        <x:v>投资者结构与共同投资</x:v>
      </x:c>
      <x:c r="M27" s="20" t="str">
        <x:v>DIRECT_SUPPORTING</x:v>
      </x:c>
      <x:c r="N27" s="20" t="str">
        <x:v>描述共同投资、主体广度与参与密度</x:v>
      </x:c>
      <x:c r="O27" s="20" t="str">
        <x:v>投资者结构、共投复杂度与关系网络</x:v>
      </x:c>
      <x:c r="P27" s="20" t="str">
        <x:v>DEFERRED</x:v>
      </x:c>
      <x:c r="Q27" s="20" t="str">
        <x:v>当前取值与CV001完全一致，不提供新增横向信息。</x:v>
      </x:c>
    </x:row>
    <x:row r="28" ht="66" customHeight="1">
      <x:c r="A28" s="20" t="str">
        <x:v>CV024</x:v>
      </x:c>
      <x:c r="B28" s="20" t="str">
        <x:v>股权转让交易数</x:v>
      </x:c>
      <x:c r="C28" s="20" t="str">
        <x:v>A核心</x:v>
      </x:c>
      <x:c r="D28" s="20" t="str">
        <x:v>二级股权流动</x:v>
      </x:c>
      <x:c r="E28" s="20" t="n">
        <x:v>8</x:v>
      </x:c>
      <x:c r="F28" s="20" t="n">
        <x:v>8</x:v>
      </x:c>
      <x:c r="G28" s="20" t="n">
        <x:v>0</x:v>
      </x:c>
      <x:c r="H28" s="20" t="n">
        <x:v>0</x:v>
      </x:c>
      <x:c r="I28" s="27" t="n">
        <x:v>1</x:v>
      </x:c>
      <x:c r="J28" s="20" t="str">
        <x:v>保留</x:v>
      </x:c>
      <x:c r="K28" s="20" t="str">
        <x:v>M04</x:v>
      </x:c>
      <x:c r="L28" s="20" t="str">
        <x:v>融资与股权转让关系</x:v>
      </x:c>
      <x:c r="M28" s="20" t="str">
        <x:v>DIRECT_SUPPORTING</x:v>
      </x:c>
      <x:c r="N28" s="20" t="str">
        <x:v>比较发行人融资与二级股权流动</x:v>
      </x:c>
      <x:c r="O28" s="20" t="str">
        <x:v>老股转让、资本流向与交易结构核验</x:v>
      </x:c>
      <x:c r="P28" s="20" t="str">
        <x:v>DESCRIPTIVE_ALL_8</x:v>
      </x:c>
      <x:c r="Q28" s="20" t="str">
        <x:v>可覆盖八家公司；仍须遵守：8家公司均可计算，且与发行人融资轮数严格分开。</x:v>
      </x:c>
    </x:row>
    <x:row r="29" ht="66" customHeight="1">
      <x:c r="A29" s="20" t="str">
        <x:v>CV025</x:v>
      </x:c>
      <x:c r="B29" s="20" t="str">
        <x:v>可核验股权转让对价下限</x:v>
      </x:c>
      <x:c r="C29" s="20" t="str">
        <x:v>A核心</x:v>
      </x:c>
      <x:c r="D29" s="20" t="str">
        <x:v>二级股权流动</x:v>
      </x:c>
      <x:c r="E29" s="20" t="n">
        <x:v>8</x:v>
      </x:c>
      <x:c r="F29" s="20" t="n">
        <x:v>4</x:v>
      </x:c>
      <x:c r="G29" s="20" t="n">
        <x:v>4</x:v>
      </x:c>
      <x:c r="H29" s="20" t="n">
        <x:v>0</x:v>
      </x:c>
      <x:c r="I29" s="27" t="n">
        <x:v>0.5</x:v>
      </x:c>
      <x:c r="J29" s="20" t="str">
        <x:v>保留（附条件）</x:v>
      </x:c>
      <x:c r="K29" s="20" t="str">
        <x:v>M04</x:v>
      </x:c>
      <x:c r="L29" s="20" t="str">
        <x:v>融资与股权转让关系</x:v>
      </x:c>
      <x:c r="M29" s="20" t="str">
        <x:v>DIRECT_SUPPORTING</x:v>
      </x:c>
      <x:c r="N29" s="20" t="str">
        <x:v>比较发行人融资与二级股权流动</x:v>
      </x:c>
      <x:c r="O29" s="20" t="str">
        <x:v>老股转让、资本流向与交易结构核验</x:v>
      </x:c>
      <x:c r="P29" s="20" t="str">
        <x:v>CASE_ONLY</x:v>
      </x:c>
      <x:c r="Q29" s="20" t="str">
        <x:v>有效N=4；仅4家公司适用或有披露值，需保留转让金额状态。</x:v>
      </x:c>
    </x:row>
    <x:row r="30" ht="66" customHeight="1">
      <x:c r="A30" s="20" t="str">
        <x:v>CV026</x:v>
      </x:c>
      <x:c r="B30" s="20" t="str">
        <x:v>转让对价与融资金额比</x:v>
      </x:c>
      <x:c r="C30" s="20" t="str">
        <x:v>B扩展</x:v>
      </x:c>
      <x:c r="D30" s="20" t="str">
        <x:v>二级股权流动</x:v>
      </x:c>
      <x:c r="E30" s="20" t="n">
        <x:v>8</x:v>
      </x:c>
      <x:c r="F30" s="20" t="n">
        <x:v>3</x:v>
      </x:c>
      <x:c r="G30" s="20" t="n">
        <x:v>4</x:v>
      </x:c>
      <x:c r="H30" s="20" t="n">
        <x:v>1</x:v>
      </x:c>
      <x:c r="I30" s="27" t="n">
        <x:v>0.375</x:v>
      </x:c>
      <x:c r="J30" s="20" t="str">
        <x:v>仅案例分析</x:v>
      </x:c>
      <x:c r="K30" s="20" t="str">
        <x:v>M04</x:v>
      </x:c>
      <x:c r="L30" s="20" t="str">
        <x:v>融资与股权转让关系</x:v>
      </x:c>
      <x:c r="M30" s="20" t="str">
        <x:v>DIRECT_SUPPORTING</x:v>
      </x:c>
      <x:c r="N30" s="20" t="str">
        <x:v>比较发行人融资与二级股权流动</x:v>
      </x:c>
      <x:c r="O30" s="20" t="str">
        <x:v>老股转让、资本流向与交易结构核验</x:v>
      </x:c>
      <x:c r="P30" s="20" t="str">
        <x:v>CASE_ONLY</x:v>
      </x:c>
      <x:c r="Q30" s="20" t="str">
        <x:v>有效N=3；只有3家公司同时具备可用融资和转让金额。</x:v>
      </x:c>
    </x:row>
    <x:row r="31" ht="66" customHeight="1">
      <x:c r="A31" s="20" t="str">
        <x:v>CV027</x:v>
      </x:c>
      <x:c r="B31" s="20" t="str">
        <x:v>金额已知融资轮数</x:v>
      </x:c>
      <x:c r="C31" s="20" t="str">
        <x:v>Q质量</x:v>
      </x:c>
      <x:c r="D31" s="20" t="str">
        <x:v>数据可用性</x:v>
      </x:c>
      <x:c r="E31" s="20" t="n">
        <x:v>8</x:v>
      </x:c>
      <x:c r="F31" s="20" t="n">
        <x:v>8</x:v>
      </x:c>
      <x:c r="G31" s="20" t="n">
        <x:v>0</x:v>
      </x:c>
      <x:c r="H31" s="20" t="n">
        <x:v>0</x:v>
      </x:c>
      <x:c r="I31" s="27" t="n">
        <x:v>1</x:v>
      </x:c>
      <x:c r="J31" s="20" t="str">
        <x:v>保留</x:v>
      </x:c>
      <x:c r="K31" s="20" t="str">
        <x:v>M05</x:v>
      </x:c>
      <x:c r="L31" s="20" t="str">
        <x:v>证据覆盖与披露边界</x:v>
      </x:c>
      <x:c r="M31" s="20" t="str">
        <x:v>QUALITY_GATE</x:v>
      </x:c>
      <x:c r="N31" s="20" t="str">
        <x:v>控制数据可用性并研究披露偏差</x:v>
      </x:c>
      <x:c r="O31" s="20" t="str">
        <x:v>数据室完整性、证据追溯和披露风险提示</x:v>
      </x:c>
      <x:c r="P31" s="20" t="str">
        <x:v>DESCRIPTIVE_ALL_8</x:v>
      </x:c>
      <x:c r="Q31" s="20" t="str">
        <x:v>可覆盖八家公司；仍须遵守：用于说明轮次金额指标的有效观察数。</x:v>
      </x:c>
    </x:row>
    <x:row r="32" ht="66" customHeight="1">
      <x:c r="A32" s="20" t="str">
        <x:v>CV028</x:v>
      </x:c>
      <x:c r="B32" s="20" t="str">
        <x:v>融资轮金额覆盖率</x:v>
      </x:c>
      <x:c r="C32" s="20" t="str">
        <x:v>Q质量</x:v>
      </x:c>
      <x:c r="D32" s="20" t="str">
        <x:v>数据可用性</x:v>
      </x:c>
      <x:c r="E32" s="20" t="n">
        <x:v>8</x:v>
      </x:c>
      <x:c r="F32" s="20" t="n">
        <x:v>7</x:v>
      </x:c>
      <x:c r="G32" s="20" t="n">
        <x:v>1</x:v>
      </x:c>
      <x:c r="H32" s="20" t="n">
        <x:v>0</x:v>
      </x:c>
      <x:c r="I32" s="27" t="n">
        <x:v>0.875</x:v>
      </x:c>
      <x:c r="J32" s="20" t="str">
        <x:v>保留</x:v>
      </x:c>
      <x:c r="K32" s="20" t="str">
        <x:v>M05</x:v>
      </x:c>
      <x:c r="L32" s="20" t="str">
        <x:v>证据覆盖与披露边界</x:v>
      </x:c>
      <x:c r="M32" s="20" t="str">
        <x:v>QUALITY_GATE</x:v>
      </x:c>
      <x:c r="N32" s="20" t="str">
        <x:v>控制数据可用性并研究披露偏差</x:v>
      </x:c>
      <x:c r="O32" s="20" t="str">
        <x:v>数据室完整性、证据追溯和披露风险提示</x:v>
      </x:c>
      <x:c r="P32" s="20" t="str">
        <x:v>DESCRIPTIVE_MOST_SAMPLE</x:v>
      </x:c>
      <x:c r="Q32" s="20" t="str">
        <x:v>有效N=7；作为CV005—CV008的必要解释门槛。</x:v>
      </x:c>
    </x:row>
    <x:row r="33" ht="66" customHeight="1">
      <x:c r="A33" s="20" t="str">
        <x:v>CV029</x:v>
      </x:c>
      <x:c r="B33" s="20" t="str">
        <x:v>融资轮日期覆盖率</x:v>
      </x:c>
      <x:c r="C33" s="20" t="str">
        <x:v>Q质量</x:v>
      </x:c>
      <x:c r="D33" s="20" t="str">
        <x:v>数据可用性</x:v>
      </x:c>
      <x:c r="E33" s="20" t="n">
        <x:v>8</x:v>
      </x:c>
      <x:c r="F33" s="20" t="n">
        <x:v>7</x:v>
      </x:c>
      <x:c r="G33" s="20" t="n">
        <x:v>1</x:v>
      </x:c>
      <x:c r="H33" s="20" t="n">
        <x:v>0</x:v>
      </x:c>
      <x:c r="I33" s="27" t="n">
        <x:v>0.875</x:v>
      </x:c>
      <x:c r="J33" s="20" t="str">
        <x:v>保留</x:v>
      </x:c>
      <x:c r="K33" s="20" t="str">
        <x:v>M05</x:v>
      </x:c>
      <x:c r="L33" s="20" t="str">
        <x:v>证据覆盖与披露边界</x:v>
      </x:c>
      <x:c r="M33" s="20" t="str">
        <x:v>QUALITY_GATE</x:v>
      </x:c>
      <x:c r="N33" s="20" t="str">
        <x:v>控制数据可用性并研究披露偏差</x:v>
      </x:c>
      <x:c r="O33" s="20" t="str">
        <x:v>数据室完整性、证据追溯和披露风险提示</x:v>
      </x:c>
      <x:c r="P33" s="20" t="str">
        <x:v>DESCRIPTIVE_MOST_SAMPLE</x:v>
      </x:c>
      <x:c r="Q33" s="20" t="str">
        <x:v>有效N=7；作为CV009—CV010的必要解释门槛。</x:v>
      </x:c>
    </x:row>
    <x:row r="34" ht="66" customHeight="1">
      <x:c r="A34" s="20" t="str">
        <x:v>CV030</x:v>
      </x:c>
      <x:c r="B34" s="20" t="str">
        <x:v>计算型轮次金额占比</x:v>
      </x:c>
      <x:c r="C34" s="20" t="str">
        <x:v>Q质量</x:v>
      </x:c>
      <x:c r="D34" s="20" t="str">
        <x:v>数值来源结构</x:v>
      </x:c>
      <x:c r="E34" s="20" t="n">
        <x:v>8</x:v>
      </x:c>
      <x:c r="F34" s="20" t="n">
        <x:v>7</x:v>
      </x:c>
      <x:c r="G34" s="20" t="n">
        <x:v>1</x:v>
      </x:c>
      <x:c r="H34" s="20" t="n">
        <x:v>0</x:v>
      </x:c>
      <x:c r="I34" s="27" t="n">
        <x:v>0.875</x:v>
      </x:c>
      <x:c r="J34" s="20" t="str">
        <x:v>保留</x:v>
      </x:c>
      <x:c r="K34" s="20" t="str">
        <x:v>M05</x:v>
      </x:c>
      <x:c r="L34" s="20" t="str">
        <x:v>证据覆盖与披露边界</x:v>
      </x:c>
      <x:c r="M34" s="20" t="str">
        <x:v>QUALITY_GATE</x:v>
      </x:c>
      <x:c r="N34" s="20" t="str">
        <x:v>控制数据可用性并研究披露偏差</x:v>
      </x:c>
      <x:c r="O34" s="20" t="str">
        <x:v>数据室完整性、证据追溯和披露风险提示</x:v>
      </x:c>
      <x:c r="P34" s="20" t="str">
        <x:v>DESCRIPTIVE_MOST_SAMPLE</x:v>
      </x:c>
      <x:c r="Q34" s="20" t="str">
        <x:v>有效N=7；用于区分直接披露金额与明确计算金额。</x:v>
      </x:c>
    </x:row>
    <x:row r="35" ht="66" customHeight="1">
      <x:c r="A35" s="20" t="str">
        <x:v>CV031</x:v>
      </x:c>
      <x:c r="B35" s="20" t="str">
        <x:v>每轮融资证据记录数</x:v>
      </x:c>
      <x:c r="C35" s="20" t="str">
        <x:v>Q质量</x:v>
      </x:c>
      <x:c r="D35" s="20" t="str">
        <x:v>证据密度</x:v>
      </x:c>
      <x:c r="E35" s="20" t="n">
        <x:v>8</x:v>
      </x:c>
      <x:c r="F35" s="20" t="n">
        <x:v>7</x:v>
      </x:c>
      <x:c r="G35" s="20" t="n">
        <x:v>1</x:v>
      </x:c>
      <x:c r="H35" s="20" t="n">
        <x:v>0</x:v>
      </x:c>
      <x:c r="I35" s="27" t="n">
        <x:v>0.875</x:v>
      </x:c>
      <x:c r="J35" s="20" t="str">
        <x:v>保留</x:v>
      </x:c>
      <x:c r="K35" s="20" t="str">
        <x:v>M05</x:v>
      </x:c>
      <x:c r="L35" s="20" t="str">
        <x:v>证据覆盖与披露边界</x:v>
      </x:c>
      <x:c r="M35" s="20" t="str">
        <x:v>QUALITY_GATE</x:v>
      </x:c>
      <x:c r="N35" s="20" t="str">
        <x:v>控制数据可用性并研究披露偏差</x:v>
      </x:c>
      <x:c r="O35" s="20" t="str">
        <x:v>数据室完整性、证据追溯和披露风险提示</x:v>
      </x:c>
      <x:c r="P35" s="20" t="str">
        <x:v>DESCRIPTIVE_MOST_SAMPLE</x:v>
      </x:c>
      <x:c r="Q35" s="20" t="str">
        <x:v>有效N=7；三协电机可计算为0但必须附证据物化限制警告。</x:v>
      </x:c>
    </x:row>
    <x:row r="36" ht="66" customHeight="1">
      <x:c r="A36" s="21" t="str">
        <x:v>CV032</x:v>
      </x:c>
      <x:c r="B36" s="21" t="str">
        <x:v>公司级披露限制标记</x:v>
      </x:c>
      <x:c r="C36" s="21" t="str">
        <x:v>Q质量</x:v>
      </x:c>
      <x:c r="D36" s="21" t="str">
        <x:v>披露边界</x:v>
      </x:c>
      <x:c r="E36" s="21" t="n">
        <x:v>8</x:v>
      </x:c>
      <x:c r="F36" s="21" t="n">
        <x:v>8</x:v>
      </x:c>
      <x:c r="G36" s="21" t="n">
        <x:v>0</x:v>
      </x:c>
      <x:c r="H36" s="21" t="n">
        <x:v>0</x:v>
      </x:c>
      <x:c r="I36" s="28" t="n">
        <x:v>1</x:v>
      </x:c>
      <x:c r="J36" s="21" t="str">
        <x:v>保留</x:v>
      </x:c>
      <x:c r="K36" s="21" t="str">
        <x:v>M05</x:v>
      </x:c>
      <x:c r="L36" s="21" t="str">
        <x:v>证据覆盖与披露边界</x:v>
      </x:c>
      <x:c r="M36" s="21" t="str">
        <x:v>QUALITY_GATE</x:v>
      </x:c>
      <x:c r="N36" s="21" t="str">
        <x:v>控制数据可用性并研究披露偏差</x:v>
      </x:c>
      <x:c r="O36" s="21" t="str">
        <x:v>数据室完整性、证据追溯和披露风险提示</x:v>
      </x:c>
      <x:c r="P36" s="21" t="str">
        <x:v>DESCRIPTIVE_ALL_8</x:v>
      </x:c>
      <x:c r="Q36" s="21" t="str">
        <x:v>可覆盖八家公司；仍须遵守：用于显式携带公司级披露限制，不作为公司优劣指标。</x:v>
      </x:c>
    </x:row>
  </x:sheetData>
  <x:mergeCells>
    <x:mergeCell ref="A1:Q1"/>
    <x:mergeCell ref="A2:Q2"/>
  </x:mergeCells>
  <x:conditionalFormatting sqref="P5:P36">
    <x:cfRule type="containsText" dxfId="0" priority="1" operator="containsText" text="DESCRIPTIVE"/>
    <x:cfRule type="containsText" dxfId="1" priority="2" operator="containsText" text="CASE_ONLY"/>
    <x:cfRule type="containsText" dxfId="2" priority="3" operator="containsText" text="DEFERR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3" hidden="0" customWidth="1"/>
    <x:col min="3" max="3" width="17" hidden="0" customWidth="1"/>
    <x:col min="4" max="4" width="28" hidden="0" customWidth="1"/>
    <x:col min="5" max="5" width="28" hidden="0" customWidth="1"/>
    <x:col min="6" max="6" width="46" hidden="0" customWidth="1"/>
    <x:col min="7" max="7" width="25" hidden="0" customWidth="1"/>
    <x:col min="8" max="8" width="18" hidden="0" customWidth="1"/>
    <x:col min="9" max="9" width="24" hidden="0" customWidth="1"/>
    <x:col min="10" max="10" width="17" hidden="0" customWidth="1"/>
    <x:col min="11" max="11" width="39" hidden="0" customWidth="1"/>
    <x:col min="12" max="12" width="19" hidden="0" customWidth="1"/>
    <x:col min="13" max="13" width="30" hidden="0" customWidth="1"/>
    <x:col min="14" max="14" width="22" hidden="0" customWidth="1"/>
    <x:col min="15" max="15" width="75" hidden="0" customWidth="1"/>
  </x:cols>
  <x:sheetData>
    <x:row r="1" ht="30" customHeight="1">
      <x:c r="A1" s="3" t="str">
        <x:v>27条交易时点持股比例测量索引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42" customHeight="1">
      <x:c r="A2" s="7" t="str">
        <x:v>本表承接Stage 6的唯一测量，不复制重复语义边；比例可补充公司级变量，但不能替代融资金额或最终股东结构。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6" customHeight="1">
      <x:c r="A4" s="11" t="str">
        <x:v>测量ID</x:v>
      </x:c>
      <x:c r="B4" s="11" t="str">
        <x:v>公司ID</x:v>
      </x:c>
      <x:c r="C4" s="11" t="str">
        <x:v>公司名称</x:v>
      </x:c>
      <x:c r="D4" s="11" t="str">
        <x:v>事件ID</x:v>
      </x:c>
      <x:c r="E4" s="11" t="str">
        <x:v>投资者实体ID</x:v>
      </x:c>
      <x:c r="F4" s="11" t="str">
        <x:v>投资者名称</x:v>
      </x:c>
      <x:c r="G4" s="11" t="str">
        <x:v>PE/VC状态</x:v>
      </x:c>
      <x:c r="H4" s="11" t="str">
        <x:v>披露比例</x:v>
      </x:c>
      <x:c r="I4" s="11" t="str">
        <x:v>数量口径</x:v>
      </x:c>
      <x:c r="J4" s="11" t="str">
        <x:v>复核状态</x:v>
      </x:c>
      <x:c r="K4" s="11" t="str">
        <x:v>证据ID</x:v>
      </x:c>
      <x:c r="L4" s="11" t="str">
        <x:v>PDF页</x:v>
      </x:c>
      <x:c r="M4" s="11" t="str">
        <x:v>canonical路径边</x:v>
      </x:c>
      <x:c r="N4" s="11" t="str">
        <x:v>可接入模块</x:v>
      </x:c>
      <x:c r="O4" s="11" t="str">
        <x:v>使用边界</x:v>
      </x:c>
    </x:row>
    <x:row r="5" ht="58" customHeight="1">
      <x:c r="A5" s="19" t="str">
        <x:v>M-301563-CE003-WEISAI</x:v>
      </x:c>
      <x:c r="B5" s="19" t="str">
        <x:v>301563</x:v>
      </x:c>
      <x:c r="C5" s="19" t="str">
        <x:v>云汉芯城</x:v>
      </x:c>
      <x:c r="D5" s="19" t="str">
        <x:v>CE-003</x:v>
      </x:c>
      <x:c r="E5" s="19" t="str">
        <x:v>ENT-004</x:v>
      </x:c>
      <x:c r="F5" s="19" t="str">
        <x:v>宁波为赛咨询管理中心（有限合伙）</x:v>
      </x:c>
      <x:c r="G5" s="19" t="str">
        <x:v>PEVC_EXCLUDED</x:v>
      </x:c>
      <x:c r="H5" s="29" t="n">
        <x:v>0.0685</x:v>
      </x:c>
      <x:c r="I5" s="19" t="str">
        <x:v>不适用</x:v>
      </x:c>
      <x:c r="J5" s="19" t="str">
        <x:v>NO_CALC</x:v>
      </x:c>
      <x:c r="K5" s="19" t="str">
        <x:v>CE-003-E02</x:v>
      </x:c>
      <x:c r="L5" s="19" t="str">
        <x:v>56</x:v>
      </x:c>
      <x:c r="M5" s="19" t="str">
        <x:v>EDGE-001</x:v>
      </x:c>
      <x:c r="N5" s="19" t="str">
        <x:v>M02/M03/M04</x:v>
      </x:c>
      <x:c r="O5" s="19" t="str">
        <x:v>仅按当前主体分类使用</x:v>
      </x:c>
    </x:row>
    <x:row r="6" ht="58" customHeight="1">
      <x:c r="A6" s="20" t="str">
        <x:v>M-301563-CE004-LIYUAN</x:v>
      </x:c>
      <x:c r="B6" s="20" t="str">
        <x:v>301563</x:v>
      </x:c>
      <x:c r="C6" s="20" t="str">
        <x:v>云汉芯城</x:v>
      </x:c>
      <x:c r="D6" s="20" t="str">
        <x:v>CE-004</x:v>
      </x:c>
      <x:c r="E6" s="20" t="str">
        <x:v>ENT-005</x:v>
      </x:c>
      <x:c r="F6" s="20" t="str">
        <x:v>武汉力源信息技术股份有限公司</x:v>
      </x:c>
      <x:c r="G6" s="20" t="str">
        <x:v>PEVC_EXCLUDED</x:v>
      </x:c>
      <x:c r="H6" s="30" t="n">
        <x:v>0.11</x:v>
      </x:c>
      <x:c r="I6" s="20" t="str">
        <x:v>注册资本（元）</x:v>
      </x:c>
      <x:c r="J6" s="20" t="str">
        <x:v>PASS</x:v>
      </x:c>
      <x:c r="K6" s="20" t="str">
        <x:v>S6-YH-2014-LY-ANN</x:v>
      </x:c>
      <x:c r="L6" s="20" t="str">
        <x:v>PDF第5页</x:v>
      </x:c>
      <x:c r="M6" s="20" t="str">
        <x:v>EDGE-002</x:v>
      </x:c>
      <x:c r="N6" s="20" t="str">
        <x:v>M02/M03/M04</x:v>
      </x:c>
      <x:c r="O6" s="20" t="str">
        <x:v>仅按当前主体分类使用</x:v>
      </x:c>
    </x:row>
    <x:row r="7" ht="58" customHeight="1">
      <x:c r="A7" s="20" t="str">
        <x:v>M-301563-CE004-DFH</x:v>
      </x:c>
      <x:c r="B7" s="20" t="str">
        <x:v>301563</x:v>
      </x:c>
      <x:c r="C7" s="20" t="str">
        <x:v>云汉芯城</x:v>
      </x:c>
      <x:c r="D7" s="20" t="str">
        <x:v>CE-004</x:v>
      </x:c>
      <x:c r="E7" s="20" t="str">
        <x:v>ENT-006</x:v>
      </x:c>
      <x:c r="F7" s="20" t="str">
        <x:v>东方富海（上海）创业投资企业（有限合伙）</x:v>
      </x:c>
      <x:c r="G7" s="20" t="str">
        <x:v>PEVC_CONFIRMED</x:v>
      </x:c>
      <x:c r="H7" s="30" t="n">
        <x:v>0.055</x:v>
      </x:c>
      <x:c r="I7" s="20" t="str">
        <x:v>注册资本（元）</x:v>
      </x:c>
      <x:c r="J7" s="20" t="str">
        <x:v>PASS</x:v>
      </x:c>
      <x:c r="K7" s="20" t="str">
        <x:v>S6-YH-2014-LY-ANN</x:v>
      </x:c>
      <x:c r="L7" s="20" t="str">
        <x:v>PDF第5页</x:v>
      </x:c>
      <x:c r="M7" s="20" t="str">
        <x:v>EDGE-003</x:v>
      </x:c>
      <x:c r="N7" s="20" t="str">
        <x:v>M02/M03/M04</x:v>
      </x:c>
      <x:c r="O7" s="20" t="str">
        <x:v>可用于确认PE/VC持股强度</x:v>
      </x:c>
    </x:row>
    <x:row r="8" ht="58" customHeight="1">
      <x:c r="A8" s="20" t="str">
        <x:v>M-301563-CE004-WHFH</x:v>
      </x:c>
      <x:c r="B8" s="20" t="str">
        <x:v>301563</x:v>
      </x:c>
      <x:c r="C8" s="20" t="str">
        <x:v>云汉芯城</x:v>
      </x:c>
      <x:c r="D8" s="20" t="str">
        <x:v>CE-004</x:v>
      </x:c>
      <x:c r="E8" s="20" t="str">
        <x:v>ENT-007</x:v>
      </x:c>
      <x:c r="F8" s="20" t="str">
        <x:v>芜湖富海浩研创业投资基金（有限合伙）</x:v>
      </x:c>
      <x:c r="G8" s="20" t="str">
        <x:v>PEVC_CONFIRMED</x:v>
      </x:c>
      <x:c r="H8" s="30" t="n">
        <x:v>0.055</x:v>
      </x:c>
      <x:c r="I8" s="20" t="str">
        <x:v>注册资本（元）</x:v>
      </x:c>
      <x:c r="J8" s="20" t="str">
        <x:v>PASS</x:v>
      </x:c>
      <x:c r="K8" s="20" t="str">
        <x:v>S6-YH-2014-LY-ANN</x:v>
      </x:c>
      <x:c r="L8" s="20" t="str">
        <x:v>PDF第5页</x:v>
      </x:c>
      <x:c r="M8" s="20" t="str">
        <x:v>EDGE-004</x:v>
      </x:c>
      <x:c r="N8" s="20" t="str">
        <x:v>M02/M03/M04</x:v>
      </x:c>
      <x:c r="O8" s="20" t="str">
        <x:v>可用于确认PE/VC持股强度</x:v>
      </x:c>
    </x:row>
    <x:row r="9" ht="58" customHeight="1">
      <x:c r="A9" s="20" t="str">
        <x:v>M-301563-CE007-FENGLI</x:v>
      </x:c>
      <x:c r="B9" s="20" t="str">
        <x:v>301563</x:v>
      </x:c>
      <x:c r="C9" s="20" t="str">
        <x:v>云汉芯城</x:v>
      </x:c>
      <x:c r="D9" s="20" t="str">
        <x:v>CE-007</x:v>
      </x:c>
      <x:c r="E9" s="20" t="str">
        <x:v>ENT-009</x:v>
      </x:c>
      <x:c r="F9" s="20" t="str">
        <x:v>丰利财富（北京）国际资本管理股份有限公司</x:v>
      </x:c>
      <x:c r="G9" s="20" t="str">
        <x:v>PEVC_RELATED</x:v>
      </x:c>
      <x:c r="H9" s="30" t="n">
        <x:v>0.016667</x:v>
      </x:c>
      <x:c r="I9" s="20" t="str">
        <x:v>注册资本（元）</x:v>
      </x:c>
      <x:c r="J9" s="20" t="str">
        <x:v>PASS</x:v>
      </x:c>
      <x:c r="K9" s="20" t="str">
        <x:v>S6-YH-2015-FL-LEGAL</x:v>
      </x:c>
      <x:c r="L9" s="20" t="str">
        <x:v>PDF第186页</x:v>
      </x:c>
      <x:c r="M9" s="20" t="str">
        <x:v>EDGE-006</x:v>
      </x:c>
      <x:c r="N9" s="20" t="str">
        <x:v>M02/M03/M04</x:v>
      </x:c>
      <x:c r="O9" s="20" t="str">
        <x:v>仅按当前主体分类使用</x:v>
      </x:c>
    </x:row>
    <x:row r="10" ht="58" customHeight="1">
      <x:c r="A10" s="20" t="str">
        <x:v>M-301563-CE009-TIANJIAN</x:v>
      </x:c>
      <x:c r="B10" s="20" t="str">
        <x:v>301563</x:v>
      </x:c>
      <x:c r="C10" s="20" t="str">
        <x:v>云汉芯城</x:v>
      </x:c>
      <x:c r="D10" s="20" t="str">
        <x:v>CE-009</x:v>
      </x:c>
      <x:c r="E10" s="20" t="str">
        <x:v>ENT-013</x:v>
      </x:c>
      <x:c r="F10" s="20" t="str">
        <x:v>厦门富海天健创业投资合伙企业（有限合伙）</x:v>
      </x:c>
      <x:c r="G10" s="20" t="str">
        <x:v>PEVC_CONFIRMED</x:v>
      </x:c>
      <x:c r="H10" s="30" t="n">
        <x:v>0.0167</x:v>
      </x:c>
      <x:c r="I10" s="20" t="str">
        <x:v>原披露数量单位</x:v>
      </x:c>
      <x:c r="J10" s="20" t="str">
        <x:v>PASS</x:v>
      </x:c>
      <x:c r="K10" s="20" t="str">
        <x:v>CE-009-E02</x:v>
      </x:c>
      <x:c r="L10" s="20" t="str">
        <x:v>58</x:v>
      </x:c>
      <x:c r="M10" s="20" t="str">
        <x:v>EDGE-010</x:v>
      </x:c>
      <x:c r="N10" s="20" t="str">
        <x:v>M02/M03/M04</x:v>
      </x:c>
      <x:c r="O10" s="20" t="str">
        <x:v>可用于确认PE/VC持股强度</x:v>
      </x:c>
    </x:row>
    <x:row r="11" ht="58" customHeight="1">
      <x:c r="A11" s="20" t="str">
        <x:v>M-301563-CE010-GKRH</x:v>
      </x:c>
      <x:c r="B11" s="20" t="str">
        <x:v>301563</x:v>
      </x:c>
      <x:c r="C11" s="20" t="str">
        <x:v>云汉芯城</x:v>
      </x:c>
      <x:c r="D11" s="20" t="str">
        <x:v>CE-010-01</x:v>
      </x:c>
      <x:c r="E11" s="20" t="str">
        <x:v>ENT-014</x:v>
      </x:c>
      <x:c r="F11" s="20" t="str">
        <x:v>北京国科瑞华战略性新兴产业投资基金（有限合伙）</x:v>
      </x:c>
      <x:c r="G11" s="20" t="str">
        <x:v>PEVC_CONFIRMED</x:v>
      </x:c>
      <x:c r="H11" s="30" t="n">
        <x:v>0.0549</x:v>
      </x:c>
      <x:c r="I11" s="20" t="str">
        <x:v>原披露数量单位</x:v>
      </x:c>
      <x:c r="J11" s="20" t="str">
        <x:v>PASS</x:v>
      </x:c>
      <x:c r="K11" s="20" t="str">
        <x:v>S5-YH-P59-60</x:v>
      </x:c>
      <x:c r="L11" s="20" t="str">
        <x:v>59-60</x:v>
      </x:c>
      <x:c r="M11" s="20" t="str">
        <x:v>EDGE-011</x:v>
      </x:c>
      <x:c r="N11" s="20" t="str">
        <x:v>M02/M03/M04</x:v>
      </x:c>
      <x:c r="O11" s="20" t="str">
        <x:v>可用于确认PE/VC持股强度</x:v>
      </x:c>
    </x:row>
    <x:row r="12" ht="58" customHeight="1">
      <x:c r="A12" s="20" t="str">
        <x:v>M-301563-CE010-CASREV</x:v>
      </x:c>
      <x:c r="B12" s="20" t="str">
        <x:v>301563</x:v>
      </x:c>
      <x:c r="C12" s="20" t="str">
        <x:v>云汉芯城</x:v>
      </x:c>
      <x:c r="D12" s="20" t="str">
        <x:v>CE-010-01</x:v>
      </x:c>
      <x:c r="E12" s="20" t="str">
        <x:v>ENT-015</x:v>
      </x:c>
      <x:c r="F12" s="20" t="str">
        <x:v>CASREV FUND II-USD L.P.</x:v>
      </x:c>
      <x:c r="G12" s="20" t="str">
        <x:v>PEVC_CANDIDATE</x:v>
      </x:c>
      <x:c r="H12" s="30" t="n">
        <x:v>0.0133</x:v>
      </x:c>
      <x:c r="I12" s="20" t="str">
        <x:v>原披露数量单位</x:v>
      </x:c>
      <x:c r="J12" s="20" t="str">
        <x:v>PASS</x:v>
      </x:c>
      <x:c r="K12" s="20" t="str">
        <x:v>S5-YH-P59-60</x:v>
      </x:c>
      <x:c r="L12" s="20" t="str">
        <x:v>59-60</x:v>
      </x:c>
      <x:c r="M12" s="20" t="str">
        <x:v>EDGE-012</x:v>
      </x:c>
      <x:c r="N12" s="20" t="str">
        <x:v>M02/M03/M04</x:v>
      </x:c>
      <x:c r="O12" s="20" t="str">
        <x:v>仅按当前主体分类使用</x:v>
      </x:c>
    </x:row>
    <x:row r="13" ht="58" customHeight="1">
      <x:c r="A13" s="20" t="str">
        <x:v>M-301563-CE010-ZKGY</x:v>
      </x:c>
      <x:c r="B13" s="20" t="str">
        <x:v>301563</x:v>
      </x:c>
      <x:c r="C13" s="20" t="str">
        <x:v>云汉芯城</x:v>
      </x:c>
      <x:c r="D13" s="20" t="str">
        <x:v>CE-010-01</x:v>
      </x:c>
      <x:c r="E13" s="20" t="str">
        <x:v>ENT-016</x:v>
      </x:c>
      <x:c r="F13" s="20" t="str">
        <x:v>中科贵银（贵州）产业投资基金（有限合伙）</x:v>
      </x:c>
      <x:c r="G13" s="20" t="str">
        <x:v>PEVC_CONFIRMED</x:v>
      </x:c>
      <x:c r="H13" s="30" t="n">
        <x:v>0.0117</x:v>
      </x:c>
      <x:c r="I13" s="20" t="str">
        <x:v>原披露数量单位</x:v>
      </x:c>
      <x:c r="J13" s="20" t="str">
        <x:v>PASS</x:v>
      </x:c>
      <x:c r="K13" s="20" t="str">
        <x:v>S5-YH-P59-60</x:v>
      </x:c>
      <x:c r="L13" s="20" t="str">
        <x:v>59-60</x:v>
      </x:c>
      <x:c r="M13" s="20" t="str">
        <x:v>EDGE-013</x:v>
      </x:c>
      <x:c r="N13" s="20" t="str">
        <x:v>M02/M03/M04</x:v>
      </x:c>
      <x:c r="O13" s="20" t="str">
        <x:v>可用于确认PE/VC持股强度</x:v>
      </x:c>
    </x:row>
    <x:row r="14" ht="58" customHeight="1">
      <x:c r="A14" s="20" t="str">
        <x:v>M-301563-CE010-NSFH</x:v>
      </x:c>
      <x:c r="B14" s="20" t="str">
        <x:v>301563</x:v>
      </x:c>
      <x:c r="C14" s="20" t="str">
        <x:v>云汉芯城</x:v>
      </x:c>
      <x:c r="D14" s="20" t="str">
        <x:v>CE-010-01</x:v>
      </x:c>
      <x:c r="E14" s="20" t="str">
        <x:v>ENT-018</x:v>
      </x:c>
      <x:c r="F14" s="20" t="str">
        <x:v>深圳南山东方富海中小微创业投资基金合伙企业（有限合伙）</x:v>
      </x:c>
      <x:c r="G14" s="20" t="str">
        <x:v>PEVC_CONFIRMED</x:v>
      </x:c>
      <x:c r="H14" s="30" t="n">
        <x:v>0.0222</x:v>
      </x:c>
      <x:c r="I14" s="20" t="str">
        <x:v>原披露数量单位</x:v>
      </x:c>
      <x:c r="J14" s="20" t="str">
        <x:v>PASS</x:v>
      </x:c>
      <x:c r="K14" s="20" t="str">
        <x:v>S5-YH-P59-60</x:v>
      </x:c>
      <x:c r="L14" s="20" t="str">
        <x:v>59-60</x:v>
      </x:c>
      <x:c r="M14" s="20" t="str">
        <x:v>EDGE-014</x:v>
      </x:c>
      <x:c r="N14" s="20" t="str">
        <x:v>M02/M03/M04</x:v>
      </x:c>
      <x:c r="O14" s="20" t="str">
        <x:v>可用于确认PE/VC持股强度</x:v>
      </x:c>
    </x:row>
    <x:row r="15" ht="58" customHeight="1">
      <x:c r="A15" s="20" t="str">
        <x:v>M-301563-CE010-ZHTY</x:v>
      </x:c>
      <x:c r="B15" s="20" t="str">
        <x:v>301563</x:v>
      </x:c>
      <x:c r="C15" s="20" t="str">
        <x:v>云汉芯城</x:v>
      </x:c>
      <x:c r="D15" s="20" t="str">
        <x:v>CE-010-01</x:v>
      </x:c>
      <x:c r="E15" s="20" t="str">
        <x:v>ENT-019</x:v>
      </x:c>
      <x:c r="F15" s="20" t="str">
        <x:v>珠海拓域壹号股权投资基金（有限合伙）</x:v>
      </x:c>
      <x:c r="G15" s="20" t="str">
        <x:v>PEVC_CONFIRMED</x:v>
      </x:c>
      <x:c r="H15" s="30" t="n">
        <x:v>0.0074</x:v>
      </x:c>
      <x:c r="I15" s="20" t="str">
        <x:v>原披露数量单位</x:v>
      </x:c>
      <x:c r="J15" s="20" t="str">
        <x:v>PASS</x:v>
      </x:c>
      <x:c r="K15" s="20" t="str">
        <x:v>S5-YH-P59-60</x:v>
      </x:c>
      <x:c r="L15" s="20" t="str">
        <x:v>59-60</x:v>
      </x:c>
      <x:c r="M15" s="20" t="str">
        <x:v>EDGE-015</x:v>
      </x:c>
      <x:c r="N15" s="20" t="str">
        <x:v>M02/M03/M04</x:v>
      </x:c>
      <x:c r="O15" s="20" t="str">
        <x:v>可用于确认PE/VC持股强度</x:v>
      </x:c>
    </x:row>
    <x:row r="16" ht="58" customHeight="1">
      <x:c r="A16" s="20" t="str">
        <x:v>M-301563-CE010-FHJN</x:v>
      </x:c>
      <x:c r="B16" s="20" t="str">
        <x:v>301563</x:v>
      </x:c>
      <x:c r="C16" s="20" t="str">
        <x:v>云汉芯城</x:v>
      </x:c>
      <x:c r="D16" s="20" t="str">
        <x:v>CE-010-03</x:v>
      </x:c>
      <x:c r="E16" s="20" t="str">
        <x:v>ENT-024</x:v>
      </x:c>
      <x:c r="F16" s="20" t="str">
        <x:v>深圳东方富海节能环保创业投资基金合伙企业（有限合伙）</x:v>
      </x:c>
      <x:c r="G16" s="20" t="str">
        <x:v>PEVC_CONFIRMED</x:v>
      </x:c>
      <x:c r="H16" s="30" t="n">
        <x:v>0.0111</x:v>
      </x:c>
      <x:c r="I16" s="20" t="str">
        <x:v>原披露数量单位</x:v>
      </x:c>
      <x:c r="J16" s="20" t="str">
        <x:v>PASS</x:v>
      </x:c>
      <x:c r="K16" s="20" t="str">
        <x:v>S5-YH-P59-60</x:v>
      </x:c>
      <x:c r="L16" s="20" t="str">
        <x:v>59-60</x:v>
      </x:c>
      <x:c r="M16" s="20" t="str">
        <x:v>EDGE-016</x:v>
      </x:c>
      <x:c r="N16" s="20" t="str">
        <x:v>M02/M03/M04</x:v>
      </x:c>
      <x:c r="O16" s="20" t="str">
        <x:v>可用于确认PE/VC持股强度</x:v>
      </x:c>
    </x:row>
    <x:row r="17" ht="58" customHeight="1">
      <x:c r="A17" s="20" t="str">
        <x:v>M-301563-CE010-LGTZ</x:v>
      </x:c>
      <x:c r="B17" s="20" t="str">
        <x:v>301563</x:v>
      </x:c>
      <x:c r="C17" s="20" t="str">
        <x:v>云汉芯城</x:v>
      </x:c>
      <x:c r="D17" s="20" t="str">
        <x:v>CE-010-03</x:v>
      </x:c>
      <x:c r="E17" s="20" t="str">
        <x:v>ENT-025</x:v>
      </x:c>
      <x:c r="F17" s="20" t="str">
        <x:v>上海临港松江股权投资基金合伙企业（有限合伙）</x:v>
      </x:c>
      <x:c r="G17" s="20" t="str">
        <x:v>PEVC_CONFIRMED</x:v>
      </x:c>
      <x:c r="H17" s="30" t="n">
        <x:v>0.0059</x:v>
      </x:c>
      <x:c r="I17" s="20" t="str">
        <x:v>原披露数量单位</x:v>
      </x:c>
      <x:c r="J17" s="20" t="str">
        <x:v>PASS</x:v>
      </x:c>
      <x:c r="K17" s="20" t="str">
        <x:v>S5-YH-P59-60</x:v>
      </x:c>
      <x:c r="L17" s="20" t="str">
        <x:v>59-60</x:v>
      </x:c>
      <x:c r="M17" s="20" t="str">
        <x:v>EDGE-017</x:v>
      </x:c>
      <x:c r="N17" s="20" t="str">
        <x:v>M02/M03/M04</x:v>
      </x:c>
      <x:c r="O17" s="20" t="str">
        <x:v>可用于确认PE/VC持股强度</x:v>
      </x:c>
    </x:row>
    <x:row r="18" ht="58" customHeight="1">
      <x:c r="A18" s="20" t="str">
        <x:v>M-301563-CE010-HDTZ</x:v>
      </x:c>
      <x:c r="B18" s="20" t="str">
        <x:v>301563</x:v>
      </x:c>
      <x:c r="C18" s="20" t="str">
        <x:v>云汉芯城</x:v>
      </x:c>
      <x:c r="D18" s="20" t="str">
        <x:v>CE-010-03</x:v>
      </x:c>
      <x:c r="E18" s="20" t="str">
        <x:v>ENT-026</x:v>
      </x:c>
      <x:c r="F18" s="20" t="str">
        <x:v>上海鸿迪投资集团有限公司</x:v>
      </x:c>
      <x:c r="G18" s="20" t="str">
        <x:v>PEVC_CANDIDATE</x:v>
      </x:c>
      <x:c r="H18" s="30" t="n">
        <x:v>0.008</x:v>
      </x:c>
      <x:c r="I18" s="20" t="str">
        <x:v>原披露数量单位</x:v>
      </x:c>
      <x:c r="J18" s="20" t="str">
        <x:v>PASS</x:v>
      </x:c>
      <x:c r="K18" s="20" t="str">
        <x:v>S5-YH-P59-60</x:v>
      </x:c>
      <x:c r="L18" s="20" t="str">
        <x:v>59-60</x:v>
      </x:c>
      <x:c r="M18" s="20" t="str">
        <x:v>EDGE-018</x:v>
      </x:c>
      <x:c r="N18" s="20" t="str">
        <x:v>M02/M03/M04</x:v>
      </x:c>
      <x:c r="O18" s="20" t="str">
        <x:v>仅按当前主体分类使用</x:v>
      </x:c>
    </x:row>
    <x:row r="19" ht="58" customHeight="1">
      <x:c r="A19" s="20" t="str">
        <x:v>M-301563-CE012-HJ</x:v>
      </x:c>
      <x:c r="B19" s="20" t="str">
        <x:v>301563</x:v>
      </x:c>
      <x:c r="C19" s="20" t="str">
        <x:v>云汉芯城</x:v>
      </x:c>
      <x:c r="D19" s="20" t="str">
        <x:v>CE-012</x:v>
      </x:c>
      <x:c r="E19" s="20" t="str">
        <x:v>ENT-027</x:v>
      </x:c>
      <x:c r="F19" s="20" t="str">
        <x:v>福建火炬电子科技股份有限公司</x:v>
      </x:c>
      <x:c r="G19" s="20" t="str">
        <x:v>PEVC_EXCLUDED</x:v>
      </x:c>
      <x:c r="H19" s="30" t="n">
        <x:v>0.0238</x:v>
      </x:c>
      <x:c r="I19" s="20" t="str">
        <x:v>原披露数量单位</x:v>
      </x:c>
      <x:c r="J19" s="20" t="str">
        <x:v>PASS</x:v>
      </x:c>
      <x:c r="K19" s="20" t="str">
        <x:v>S5-YH-P61-62</x:v>
      </x:c>
      <x:c r="L19" s="20" t="str">
        <x:v>61-62</x:v>
      </x:c>
      <x:c r="M19" s="20" t="str">
        <x:v>EDGE-019</x:v>
      </x:c>
      <x:c r="N19" s="20" t="str">
        <x:v>M02/M03/M04</x:v>
      </x:c>
      <x:c r="O19" s="20" t="str">
        <x:v>仅按当前主体分类使用</x:v>
      </x:c>
    </x:row>
    <x:row r="20" ht="58" customHeight="1">
      <x:c r="A20" s="20" t="str">
        <x:v>M-301563-CE013-XIDI</x:v>
      </x:c>
      <x:c r="B20" s="20" t="str">
        <x:v>301563</x:v>
      </x:c>
      <x:c r="C20" s="20" t="str">
        <x:v>云汉芯城</x:v>
      </x:c>
      <x:c r="D20" s="20" t="str">
        <x:v>CE-013-01</x:v>
      </x:c>
      <x:c r="E20" s="20" t="str">
        <x:v>ENT-028</x:v>
      </x:c>
      <x:c r="F20" s="20" t="str">
        <x:v>厦门西堤拾贰投资合伙企业（有限合伙）</x:v>
      </x:c>
      <x:c r="G20" s="20" t="str">
        <x:v>PEVC_CANDIDATE</x:v>
      </x:c>
      <x:c r="H20" s="30" t="n">
        <x:v>0.0198</x:v>
      </x:c>
      <x:c r="I20" s="20" t="str">
        <x:v>原披露数量单位</x:v>
      </x:c>
      <x:c r="J20" s="20" t="str">
        <x:v>PASS</x:v>
      </x:c>
      <x:c r="K20" s="20" t="str">
        <x:v>S5-YH-P63-64</x:v>
      </x:c>
      <x:c r="L20" s="20" t="str">
        <x:v>63-64</x:v>
      </x:c>
      <x:c r="M20" s="20" t="str">
        <x:v>EDGE-020</x:v>
      </x:c>
      <x:c r="N20" s="20" t="str">
        <x:v>M02/M03/M04</x:v>
      </x:c>
      <x:c r="O20" s="20" t="str">
        <x:v>仅按当前主体分类使用</x:v>
      </x:c>
    </x:row>
    <x:row r="21" ht="58" customHeight="1">
      <x:c r="A21" s="20" t="str">
        <x:v>M-301563-CE013-SMEFUND</x:v>
      </x:c>
      <x:c r="B21" s="20" t="str">
        <x:v>301563</x:v>
      </x:c>
      <x:c r="C21" s="20" t="str">
        <x:v>云汉芯城</x:v>
      </x:c>
      <x:c r="D21" s="20" t="str">
        <x:v>CE-013-01</x:v>
      </x:c>
      <x:c r="E21" s="20" t="str">
        <x:v>ENT-029</x:v>
      </x:c>
      <x:c r="F21" s="20" t="str">
        <x:v>中小企业发展基金（深圳南山有限合伙）</x:v>
      </x:c>
      <x:c r="G21" s="20" t="str">
        <x:v>PEVC_CONFIRMED</x:v>
      </x:c>
      <x:c r="H21" s="30" t="n">
        <x:v>0.0079</x:v>
      </x:c>
      <x:c r="I21" s="20" t="str">
        <x:v>原披露数量单位</x:v>
      </x:c>
      <x:c r="J21" s="20" t="str">
        <x:v>PASS</x:v>
      </x:c>
      <x:c r="K21" s="20" t="str">
        <x:v>S5-YH-P63-64</x:v>
      </x:c>
      <x:c r="L21" s="20" t="str">
        <x:v>63-64</x:v>
      </x:c>
      <x:c r="M21" s="20" t="str">
        <x:v>EDGE-021</x:v>
      </x:c>
      <x:c r="N21" s="20" t="str">
        <x:v>M02/M03/M04</x:v>
      </x:c>
      <x:c r="O21" s="20" t="str">
        <x:v>可用于确认PE/VC持股强度</x:v>
      </x:c>
    </x:row>
    <x:row r="22" ht="58" customHeight="1">
      <x:c r="A22" s="20" t="str">
        <x:v>M-301563-CE013-FJKJ</x:v>
      </x:c>
      <x:c r="B22" s="20" t="str">
        <x:v>301563</x:v>
      </x:c>
      <x:c r="C22" s="20" t="str">
        <x:v>云汉芯城</x:v>
      </x:c>
      <x:c r="D22" s="20" t="str">
        <x:v>CE-013-02</x:v>
      </x:c>
      <x:c r="E22" s="20" t="str">
        <x:v>ENT-031</x:v>
      </x:c>
      <x:c r="F22" s="20" t="str">
        <x:v>福建开京集团有限责任公司</x:v>
      </x:c>
      <x:c r="G22" s="20" t="str">
        <x:v>PEVC_UNRESOLVED</x:v>
      </x:c>
      <x:c r="H22" s="30" t="n">
        <x:v>0.0024</x:v>
      </x:c>
      <x:c r="I22" s="20" t="str">
        <x:v>原披露数量单位</x:v>
      </x:c>
      <x:c r="J22" s="20" t="str">
        <x:v>PASS</x:v>
      </x:c>
      <x:c r="K22" s="20" t="str">
        <x:v>S5-YH-P63-64</x:v>
      </x:c>
      <x:c r="L22" s="20" t="str">
        <x:v>63-64</x:v>
      </x:c>
      <x:c r="M22" s="20" t="str">
        <x:v>EDGE-022</x:v>
      </x:c>
      <x:c r="N22" s="20" t="str">
        <x:v>M02/M03/M04</x:v>
      </x:c>
      <x:c r="O22" s="20" t="str">
        <x:v>仅按当前主体分类使用</x:v>
      </x:c>
    </x:row>
    <x:row r="23" ht="58" customHeight="1">
      <x:c r="A23" s="20" t="str">
        <x:v>M-301563-CE013-XYJY</x:v>
      </x:c>
      <x:c r="B23" s="20" t="str">
        <x:v>301563</x:v>
      </x:c>
      <x:c r="C23" s="20" t="str">
        <x:v>云汉芯城</x:v>
      </x:c>
      <x:c r="D23" s="20" t="str">
        <x:v>CE-013-02</x:v>
      </x:c>
      <x:c r="E23" s="20" t="str">
        <x:v>ENT-036</x:v>
      </x:c>
      <x:c r="F23" s="20" t="str">
        <x:v>萍乡市湘裕君源企业管理中心（有限合伙）</x:v>
      </x:c>
      <x:c r="G23" s="20" t="str">
        <x:v>PEVC_UNRESOLVED</x:v>
      </x:c>
      <x:c r="H23" s="30" t="n">
        <x:v>0.0058</x:v>
      </x:c>
      <x:c r="I23" s="20" t="str">
        <x:v>原披露数量单位</x:v>
      </x:c>
      <x:c r="J23" s="20" t="str">
        <x:v>PASS</x:v>
      </x:c>
      <x:c r="K23" s="20" t="str">
        <x:v>S5-YH-P63-64</x:v>
      </x:c>
      <x:c r="L23" s="20" t="str">
        <x:v>63-64</x:v>
      </x:c>
      <x:c r="M23" s="20" t="str">
        <x:v>EDGE-023</x:v>
      </x:c>
      <x:c r="N23" s="20" t="str">
        <x:v>M02/M03/M04</x:v>
      </x:c>
      <x:c r="O23" s="20" t="str">
        <x:v>仅按当前主体分类使用</x:v>
      </x:c>
    </x:row>
    <x:row r="24" ht="58" customHeight="1">
      <x:c r="A24" s="20" t="str">
        <x:v>M-301563-CE005-LIYUAN</x:v>
      </x:c>
      <x:c r="B24" s="20" t="str">
        <x:v>301563</x:v>
      </x:c>
      <x:c r="C24" s="20" t="str">
        <x:v>云汉芯城</x:v>
      </x:c>
      <x:c r="D24" s="20" t="str">
        <x:v>CE-005</x:v>
      </x:c>
      <x:c r="E24" s="20" t="str">
        <x:v>ENT-005</x:v>
      </x:c>
      <x:c r="F24" s="20" t="str">
        <x:v>武汉力源信息技术股份有限公司</x:v>
      </x:c>
      <x:c r="G24" s="20" t="str">
        <x:v>PEVC_EXCLUDED</x:v>
      </x:c>
      <x:c r="H24" s="30" t="n">
        <x:v>0.135</x:v>
      </x:c>
      <x:c r="I24" s="20" t="str">
        <x:v>注册资本（元）</x:v>
      </x:c>
      <x:c r="J24" s="20" t="str">
        <x:v>PASS</x:v>
      </x:c>
      <x:c r="K24" s="20" t="str">
        <x:v>S6-YH-2014-LY-ANN</x:v>
      </x:c>
      <x:c r="L24" s="20" t="str">
        <x:v>PDF第5页</x:v>
      </x:c>
      <x:c r="M24" s="20" t="str">
        <x:v>EDGE-038</x:v>
      </x:c>
      <x:c r="N24" s="20" t="str">
        <x:v>M02/M03/M04</x:v>
      </x:c>
      <x:c r="O24" s="20" t="str">
        <x:v>仅按当前主体分类使用</x:v>
      </x:c>
    </x:row>
    <x:row r="25" ht="58" customHeight="1">
      <x:c r="A25" s="20" t="str">
        <x:v>M-301563-CE005-DFH</x:v>
      </x:c>
      <x:c r="B25" s="20" t="str">
        <x:v>301563</x:v>
      </x:c>
      <x:c r="C25" s="20" t="str">
        <x:v>云汉芯城</x:v>
      </x:c>
      <x:c r="D25" s="20" t="str">
        <x:v>CE-005</x:v>
      </x:c>
      <x:c r="E25" s="20" t="str">
        <x:v>ENT-006</x:v>
      </x:c>
      <x:c r="F25" s="20" t="str">
        <x:v>东方富海（上海）创业投资企业（有限合伙）</x:v>
      </x:c>
      <x:c r="G25" s="20" t="str">
        <x:v>PEVC_CONFIRMED</x:v>
      </x:c>
      <x:c r="H25" s="30" t="n">
        <x:v>0.0675</x:v>
      </x:c>
      <x:c r="I25" s="20" t="str">
        <x:v>注册资本（元）</x:v>
      </x:c>
      <x:c r="J25" s="20" t="str">
        <x:v>PASS</x:v>
      </x:c>
      <x:c r="K25" s="20" t="str">
        <x:v>S6-YH-2014-LY-ANN</x:v>
      </x:c>
      <x:c r="L25" s="20" t="str">
        <x:v>PDF第5页</x:v>
      </x:c>
      <x:c r="M25" s="20" t="str">
        <x:v>EDGE-039</x:v>
      </x:c>
      <x:c r="N25" s="20" t="str">
        <x:v>M02/M03/M04</x:v>
      </x:c>
      <x:c r="O25" s="20" t="str">
        <x:v>可用于确认PE/VC持股强度</x:v>
      </x:c>
    </x:row>
    <x:row r="26" ht="58" customHeight="1">
      <x:c r="A26" s="20" t="str">
        <x:v>M-301563-CE005-WHFH</x:v>
      </x:c>
      <x:c r="B26" s="20" t="str">
        <x:v>301563</x:v>
      </x:c>
      <x:c r="C26" s="20" t="str">
        <x:v>云汉芯城</x:v>
      </x:c>
      <x:c r="D26" s="20" t="str">
        <x:v>CE-005</x:v>
      </x:c>
      <x:c r="E26" s="20" t="str">
        <x:v>ENT-007</x:v>
      </x:c>
      <x:c r="F26" s="20" t="str">
        <x:v>芜湖富海浩研创业投资基金（有限合伙）</x:v>
      </x:c>
      <x:c r="G26" s="20" t="str">
        <x:v>PEVC_CONFIRMED</x:v>
      </x:c>
      <x:c r="H26" s="30" t="n">
        <x:v>0.0675</x:v>
      </x:c>
      <x:c r="I26" s="20" t="str">
        <x:v>注册资本（元）</x:v>
      </x:c>
      <x:c r="J26" s="20" t="str">
        <x:v>PASS</x:v>
      </x:c>
      <x:c r="K26" s="20" t="str">
        <x:v>S6-YH-2014-LY-ANN</x:v>
      </x:c>
      <x:c r="L26" s="20" t="str">
        <x:v>PDF第5页</x:v>
      </x:c>
      <x:c r="M26" s="20" t="str">
        <x:v>EDGE-040</x:v>
      </x:c>
      <x:c r="N26" s="20" t="str">
        <x:v>M02/M03/M04</x:v>
      </x:c>
      <x:c r="O26" s="20" t="str">
        <x:v>可用于确认PE/VC持股强度</x:v>
      </x:c>
    </x:row>
    <x:row r="27" ht="58" customHeight="1">
      <x:c r="A27" s="20" t="str">
        <x:v>M-301563-CE010-XIADONG</x:v>
      </x:c>
      <x:c r="B27" s="20" t="str">
        <x:v>301563</x:v>
      </x:c>
      <x:c r="C27" s="20" t="str">
        <x:v>云汉芯城</x:v>
      </x:c>
      <x:c r="D27" s="20" t="str">
        <x:v>CE-010-01</x:v>
      </x:c>
      <x:c r="E27" s="20" t="str">
        <x:v>ENT-017</x:v>
      </x:c>
      <x:c r="F27" s="20" t="str">
        <x:v>夏东</x:v>
      </x:c>
      <x:c r="G27" s="20" t="str">
        <x:v>PEVC_EXCLUDED</x:v>
      </x:c>
      <x:c r="H27" s="30" t="n">
        <x:v>0.0015</x:v>
      </x:c>
      <x:c r="I27" s="20" t="str">
        <x:v>原披露数量单位</x:v>
      </x:c>
      <x:c r="J27" s="20" t="str">
        <x:v>PASS</x:v>
      </x:c>
      <x:c r="K27" s="20" t="str">
        <x:v>S5-YH-P59-60</x:v>
      </x:c>
      <x:c r="L27" s="20" t="str">
        <x:v>59-60</x:v>
      </x:c>
      <x:c r="M27" s="20" t="str">
        <x:v>EDGE-050</x:v>
      </x:c>
      <x:c r="N27" s="20" t="str">
        <x:v>M02/M03/M04</x:v>
      </x:c>
      <x:c r="O27" s="20" t="str">
        <x:v>仅按当前主体分类使用</x:v>
      </x:c>
    </x:row>
    <x:row r="28" ht="58" customHeight="1">
      <x:c r="A28" s="20" t="str">
        <x:v>M-603418-202009-JPKC</x:v>
      </x:c>
      <x:c r="B28" s="20" t="str">
        <x:v>603418</x:v>
      </x:c>
      <x:c r="C28" s="20" t="str">
        <x:v>友升股份</x:v>
      </x:c>
      <x:c r="D28" s="20" t="str">
        <x:v>EVT-603418-0003</x:v>
      </x:c>
      <x:c r="E28" s="20" t="str">
        <x:v>INV-603418-0010</x:v>
      </x:c>
      <x:c r="F28" s="20" t="str">
        <x:v>金浦科创基金</x:v>
      </x:c>
      <x:c r="G28" s="20" t="str">
        <x:v>PEVC_CONFIRMED</x:v>
      </x:c>
      <x:c r="H28" s="30" t="n">
        <x:v>0.0269</x:v>
      </x:c>
      <x:c r="I28" s="20" t="str">
        <x:v>原披露数量单位</x:v>
      </x:c>
      <x:c r="J28" s="20" t="str">
        <x:v>PASS</x:v>
      </x:c>
      <x:c r="K28" s="20" t="str">
        <x:v>EVD-603418-0004-01</x:v>
      </x:c>
      <x:c r="L28" s="20" t="str">
        <x:v>44</x:v>
      </x:c>
      <x:c r="M28" s="20" t="str">
        <x:v>PATH-603418-00006-E01</x:v>
      </x:c>
      <x:c r="N28" s="20" t="str">
        <x:v>M02/M03/M04</x:v>
      </x:c>
      <x:c r="O28" s="20" t="str">
        <x:v>可用于确认PE/VC持股强度</x:v>
      </x:c>
    </x:row>
    <x:row r="29" ht="58" customHeight="1">
      <x:c r="A29" s="20" t="str">
        <x:v>M-603418-202009-JPLG</x:v>
      </x:c>
      <x:c r="B29" s="20" t="str">
        <x:v>603418</x:v>
      </x:c>
      <x:c r="C29" s="20" t="str">
        <x:v>友升股份</x:v>
      </x:c>
      <x:c r="D29" s="20" t="str">
        <x:v>EVT-603418-0003</x:v>
      </x:c>
      <x:c r="E29" s="20" t="str">
        <x:v>INV-603418-0009</x:v>
      </x:c>
      <x:c r="F29" s="20" t="str">
        <x:v>金浦临港基金</x:v>
      </x:c>
      <x:c r="G29" s="20" t="str">
        <x:v>PEVC_CONFIRMED</x:v>
      </x:c>
      <x:c r="H29" s="30" t="n">
        <x:v>0.0628</x:v>
      </x:c>
      <x:c r="I29" s="20" t="str">
        <x:v>原披露数量单位</x:v>
      </x:c>
      <x:c r="J29" s="20" t="str">
        <x:v>PASS</x:v>
      </x:c>
      <x:c r="K29" s="20" t="str">
        <x:v>EVD-603418-0004-01</x:v>
      </x:c>
      <x:c r="L29" s="20" t="str">
        <x:v>44</x:v>
      </x:c>
      <x:c r="M29" s="20" t="str">
        <x:v>PATH-603418-00007-E01</x:v>
      </x:c>
      <x:c r="N29" s="20" t="str">
        <x:v>M02/M03/M04</x:v>
      </x:c>
      <x:c r="O29" s="20" t="str">
        <x:v>可用于确认PE/VC持股强度</x:v>
      </x:c>
    </x:row>
    <x:row r="30" ht="58" customHeight="1">
      <x:c r="A30" s="20" t="str">
        <x:v>M-920100-2022-WZJM</x:v>
      </x:c>
      <x:c r="B30" s="20" t="str">
        <x:v>920100</x:v>
      </x:c>
      <x:c r="C30" s="20" t="str">
        <x:v>三协电机</x:v>
      </x:c>
      <x:c r="D30" s="20" t="str">
        <x:v>W7-OVR-920100-2022-DI</x:v>
      </x:c>
      <x:c r="E30" s="20" t="str">
        <x:v>STD-920100-PEVC-001</x:v>
      </x:c>
      <x:c r="F30" s="20" t="str">
        <x:v>稳正景明</x:v>
      </x:c>
      <x:c r="G30" s="20" t="str">
        <x:v>PEVC_CONFIRMED</x:v>
      </x:c>
      <x:c r="H30" s="30" t="n">
        <x:v>0.099909</x:v>
      </x:c>
      <x:c r="I30" s="20" t="str">
        <x:v>股份（股）</x:v>
      </x:c>
      <x:c r="J30" s="20" t="str">
        <x:v>PASS</x:v>
      </x:c>
      <x:c r="K30" s="20" t="str">
        <x:v>S6-SX-2023-H1</x:v>
      </x:c>
      <x:c r="L30" s="20" t="str">
        <x:v>PDF第28、124页</x:v>
      </x:c>
      <x:c r="M30" s="20" t="str">
        <x:v>SUP-EDGE-920100-2022-001</x:v>
      </x:c>
      <x:c r="N30" s="20" t="str">
        <x:v>M02/M03/M04</x:v>
      </x:c>
      <x:c r="O30" s="20" t="str">
        <x:v>可用于确认PE/VC持股强度</x:v>
      </x:c>
    </x:row>
    <x:row r="31" ht="58" customHeight="1">
      <x:c r="A31" s="21" t="str">
        <x:v>M-920100-2022-WZCZ</x:v>
      </x:c>
      <x:c r="B31" s="21" t="str">
        <x:v>920100</x:v>
      </x:c>
      <x:c r="C31" s="21" t="str">
        <x:v>三协电机</x:v>
      </x:c>
      <x:c r="D31" s="21" t="str">
        <x:v>W7-OVR-920100-2022-DI</x:v>
      </x:c>
      <x:c r="E31" s="21" t="str">
        <x:v>STD-920100-PEVC-002</x:v>
      </x:c>
      <x:c r="F31" s="21" t="str">
        <x:v>长泽创投</x:v>
      </x:c>
      <x:c r="G31" s="21" t="str">
        <x:v>PEVC_CONFIRMED</x:v>
      </x:c>
      <x:c r="H31" s="31" t="n">
        <x:v>0.050233</x:v>
      </x:c>
      <x:c r="I31" s="21" t="str">
        <x:v>股份（股）</x:v>
      </x:c>
      <x:c r="J31" s="21" t="str">
        <x:v>PASS</x:v>
      </x:c>
      <x:c r="K31" s="21" t="str">
        <x:v>S6-SX-2023-H1</x:v>
      </x:c>
      <x:c r="L31" s="21" t="str">
        <x:v>PDF第28、124页</x:v>
      </x:c>
      <x:c r="M31" s="21" t="str">
        <x:v>SUP-EDGE-920100-2022-002</x:v>
      </x:c>
      <x:c r="N31" s="21" t="str">
        <x:v>M02/M03/M04</x:v>
      </x:c>
      <x:c r="O31" s="21" t="str">
        <x:v>可用于确认PE/VC持股强度</x:v>
      </x:c>
    </x:row>
  </x:sheetData>
  <x:mergeCells>
    <x:mergeCell ref="A1:O1"/>
    <x:mergeCell ref="A2:O2"/>
  </x:mergeCells>
  <x:conditionalFormatting sqref="J5:J31">
    <x:cfRule type="containsText" dxfId="3" priority="1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92" hidden="0" customWidth="1"/>
    <x:col min="4" max="4" width="25" hidden="0" customWidth="1"/>
    <x:col min="5" max="5" width="48" hidden="0" customWidth="1"/>
    <x:col min="6" max="6" width="67" hidden="0" customWidth="1"/>
    <x:col min="7" max="7" width="57" hidden="0" customWidth="1"/>
    <x:col min="8" max="8" width="39" hidden="0" customWidth="1"/>
    <x:col min="9" max="9" width="40" hidden="0" customWidth="1"/>
    <x:col min="10" max="10" width="90" hidden="0" customWidth="1"/>
    <x:col min="11" max="11" width="65" hidden="0" customWidth="1"/>
  </x:cols>
  <x:sheetData>
    <x:row r="1" ht="30" customHeight="1">
      <x:c r="A1" s="3" t="str">
        <x:v>研究问题—变量—证据—边界矩阵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7" t="str">
        <x:v>问题先于方法：先确认当前数据能回答到什么程度，再选择描述比较、案例研究或后续扩样。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6" customHeight="1">
      <x:c r="A4" s="11" t="str">
        <x:v>问题ID</x:v>
      </x:c>
      <x:c r="B4" s="11" t="str">
        <x:v>类型</x:v>
      </x:c>
      <x:c r="C4" s="11" t="str">
        <x:v>研究/商业问题</x:v>
      </x:c>
      <x:c r="D4" s="11" t="str">
        <x:v>分析单位</x:v>
      </x:c>
      <x:c r="E4" s="11" t="str">
        <x:v>Week 9变量</x:v>
      </x:c>
      <x:c r="F4" s="11" t="str">
        <x:v>Stage 6补充</x:v>
      </x:c>
      <x:c r="G4" s="11" t="str">
        <x:v>当前方法</x:v>
      </x:c>
      <x:c r="H4" s="11" t="str">
        <x:v>可回答程度</x:v>
      </x:c>
      <x:c r="I4" s="11" t="str">
        <x:v>状态</x:v>
      </x:c>
      <x:c r="J4" s="11" t="str">
        <x:v>核心边界</x:v>
      </x:c>
      <x:c r="K4" s="11" t="str">
        <x:v>后续提升</x:v>
      </x:c>
    </x:row>
    <x:row r="5" ht="74" customHeight="1">
      <x:c r="A5" s="19" t="str">
        <x:v>AQ01</x:v>
      </x:c>
      <x:c r="B5" s="19" t="str">
        <x:v>学术</x:v>
      </x:c>
      <x:c r="C5" s="19" t="str">
        <x:v>八家公司上市前直接股权融资在轮数、已知金额和时间节奏上有何差异？</x:v>
      </x:c>
      <x:c r="D5" s="19" t="str">
        <x:v>公司</x:v>
      </x:c>
      <x:c r="E5" s="19" t="str">
        <x:v>CV001—CV010;CV027—CV030</x:v>
      </x:c>
      <x:c r="F5" s="19" t="str">
        <x:v>不必使用持股比例</x:v>
      </x:c>
      <x:c r="G5" s="19" t="str">
        <x:v>八家公司描述统计、排序表、时间线</x:v>
      </x:c>
      <x:c r="H5" s="19" t="str">
        <x:v>可以回答样本内差异</x:v>
      </x:c>
      <x:c r="I5" s="19" t="str">
        <x:v>DESCRIPTIVE_ALL_8_WITH_MISSING_GATE</x:v>
      </x:c>
      <x:c r="J5" s="19" t="str">
        <x:v>不作总体代表性或显著性解释</x:v>
      </x:c>
      <x:c r="K5" s="19" t="str">
        <x:v>扩大样本或补充结果变量后再升级</x:v>
      </x:c>
    </x:row>
    <x:row r="6" ht="74" customHeight="1">
      <x:c r="A6" s="20" t="str">
        <x:v>AQ02</x:v>
      </x:c>
      <x:c r="B6" s="20" t="str">
        <x:v>学术</x:v>
      </x:c>
      <x:c r="C6" s="20" t="str">
        <x:v>有确认PE/VC与无确认PE/VC公司的融资轮数、金额和投资者广度是否呈现不同模式？</x:v>
      </x:c>
      <x:c r="D6" s="20" t="str">
        <x:v>公司分组</x:v>
      </x:c>
      <x:c r="E6" s="20" t="str">
        <x:v>CV002;CV003;CV011—CV014;CV020—CV022</x:v>
      </x:c>
      <x:c r="F6" s="20" t="str">
        <x:v>Stage 6确认PE/VC持股可作为个案解释</x:v>
      </x:c>
      <x:c r="G6" s="20" t="str">
        <x:v>3家公司对5家公司探索性均值比较</x:v>
      </x:c>
      <x:c r="H6" s="20" t="str">
        <x:v>可以形成假设</x:v>
      </x:c>
      <x:c r="I6" s="20" t="str">
        <x:v>HYPOTHESIS_GENERATING</x:v>
      </x:c>
      <x:c r="J6" s="20" t="str">
        <x:v>样本极小且PE/VC并非随机进入，禁止因果推断</x:v>
      </x:c>
      <x:c r="K6" s="20" t="str">
        <x:v>扩大样本或补充结果变量后再升级</x:v>
      </x:c>
    </x:row>
    <x:row r="7" ht="74" customHeight="1">
      <x:c r="A7" s="20" t="str">
        <x:v>AQ03</x:v>
      </x:c>
      <x:c r="B7" s="20" t="str">
        <x:v>学术</x:v>
      </x:c>
      <x:c r="C7" s="20" t="str">
        <x:v>PE/VC进入时点、进入方式与交易后持股强度如何共同塑造融资路径？</x:v>
      </x:c>
      <x:c r="D7" s="20" t="str">
        <x:v>公司—事件</x:v>
      </x:c>
      <x:c r="E7" s="20" t="str">
        <x:v>CV014—CV019</x:v>
      </x:c>
      <x:c r="F7" s="20" t="str">
        <x:v>27条唯一比例；5个可解释PE/VC事件</x:v>
      </x:c>
      <x:c r="G7" s="20" t="str">
        <x:v>时序案例比较</x:v>
      </x:c>
      <x:c r="H7" s="20" t="str">
        <x:v>可以回答3家公司案例</x:v>
      </x:c>
      <x:c r="I7" s="20" t="str">
        <x:v>CASE_COMPARATIVE_READY</x:v>
      </x:c>
      <x:c r="J7" s="20" t="str">
        <x:v>事件比例不是公司最终持股，跨时点不可直接相加</x:v>
      </x:c>
      <x:c r="K7" s="20" t="str">
        <x:v>扩大样本或补充结果变量后再升级</x:v>
      </x:c>
    </x:row>
    <x:row r="8" ht="74" customHeight="1">
      <x:c r="A8" s="20" t="str">
        <x:v>AQ04</x:v>
      </x:c>
      <x:c r="B8" s="20" t="str">
        <x:v>学术</x:v>
      </x:c>
      <x:c r="C8" s="20" t="str">
        <x:v>PE/VC与产业/战略投资者在同轮增资中的共投结构有何差异？</x:v>
      </x:c>
      <x:c r="D8" s="20" t="str">
        <x:v>公司—事件—投资者</x:v>
      </x:c>
      <x:c r="E8" s="20" t="str">
        <x:v>CV012;CV013;CV020—CV022</x:v>
      </x:c>
      <x:c r="F8" s="20" t="str">
        <x:v>云汉CE-004/005个体比例</x:v>
      </x:c>
      <x:c r="G8" s="20" t="str">
        <x:v>同轮投资者类型与比例对照</x:v>
      </x:c>
      <x:c r="H8" s="20" t="str">
        <x:v>可回答云汉案例</x:v>
      </x:c>
      <x:c r="I8" s="20" t="str">
        <x:v>SINGLE_COMPANY_CASE_READY</x:v>
      </x:c>
      <x:c r="J8" s="20" t="str">
        <x:v>不能推广为所有企业的共投规律</x:v>
      </x:c>
      <x:c r="K8" s="20" t="str">
        <x:v>扩大样本或补充结果变量后再升级</x:v>
      </x:c>
    </x:row>
    <x:row r="9" ht="74" customHeight="1">
      <x:c r="A9" s="20" t="str">
        <x:v>AQ05</x:v>
      </x:c>
      <x:c r="B9" s="20" t="str">
        <x:v>学术</x:v>
      </x:c>
      <x:c r="C9" s="20" t="str">
        <x:v>增资进入与股权转让进入在融资路径中承担何种不同作用？</x:v>
      </x:c>
      <x:c r="D9" s="20" t="str">
        <x:v>公司—交易</x:v>
      </x:c>
      <x:c r="E9" s="20" t="str">
        <x:v>CV019;CV024—CV026</x:v>
      </x:c>
      <x:c r="F9" s="20" t="str">
        <x:v>相关事件比例及路径类型</x:v>
      </x:c>
      <x:c r="G9" s="20" t="str">
        <x:v>融资事件与老股转让并列时间线</x:v>
      </x:c>
      <x:c r="H9" s="20" t="str">
        <x:v>部分回答</x:v>
      </x:c>
      <x:c r="I9" s="20" t="str">
        <x:v>LIMITED_CASE_READY</x:v>
      </x:c>
      <x:c r="J9" s="20" t="str">
        <x:v>转让对价与融资金额仅3家公司同时可用</x:v>
      </x:c>
      <x:c r="K9" s="20" t="str">
        <x:v>扩大样本或补充结果变量后再升级</x:v>
      </x:c>
    </x:row>
    <x:row r="10" ht="74" customHeight="1">
      <x:c r="A10" s="20" t="str">
        <x:v>AQ06</x:v>
      </x:c>
      <x:c r="B10" s="20" t="str">
        <x:v>学术方法</x:v>
      </x:c>
      <x:c r="C10" s="20" t="str">
        <x:v>披露完整度如何影响可观察到的融资规模、投资者数量和持股比例？</x:v>
      </x:c>
      <x:c r="D10" s="20" t="str">
        <x:v>公司/字段</x:v>
      </x:c>
      <x:c r="E10" s="20" t="str">
        <x:v>CV027—CV032</x:v>
      </x:c>
      <x:c r="F10" s="20" t="str">
        <x:v>41/69路径有比例；19条证据不足；5项正式停止</x:v>
      </x:c>
      <x:c r="G10" s="20" t="str">
        <x:v>缺失机制与测量边界审计</x:v>
      </x:c>
      <x:c r="H10" s="20" t="str">
        <x:v>可以回答方法问题</x:v>
      </x:c>
      <x:c r="I10" s="20" t="str">
        <x:v>METHOD_RESEARCH_READY</x:v>
      </x:c>
      <x:c r="J10" s="20" t="str">
        <x:v>披露不足不是公司质量差</x:v>
      </x:c>
      <x:c r="K10" s="20" t="str">
        <x:v>扩大样本或补充结果变量后再升级</x:v>
      </x:c>
    </x:row>
    <x:row r="11" ht="74" customHeight="1">
      <x:c r="A11" s="20" t="str">
        <x:v>BQ01</x:v>
      </x:c>
      <x:c r="B11" s="20" t="str">
        <x:v>商业</x:v>
      </x:c>
      <x:c r="C11" s="20" t="str">
        <x:v>交易完成后投资者取得多少权益，可能形成怎样的稀释和影响力？</x:v>
      </x:c>
      <x:c r="D11" s="20" t="str">
        <x:v>公司—事件—投资者</x:v>
      </x:c>
      <x:c r="E11" s="20" t="str">
        <x:v>CV012;CV014;CV020</x:v>
      </x:c>
      <x:c r="F11" s="20" t="str">
        <x:v>27条个体比例、6条事件合计</x:v>
      </x:c>
      <x:c r="G11" s="20" t="str">
        <x:v>股权结构快照与稀释说明</x:v>
      </x:c>
      <x:c r="H11" s="20" t="str">
        <x:v>3家公司可用</x:v>
      </x:c>
      <x:c r="I11" s="20" t="str">
        <x:v>CASE_DILUTION_READY</x:v>
      </x:c>
      <x:c r="J11" s="20" t="str">
        <x:v>无完整股东表时不计算控制权或HHI</x:v>
      </x:c>
      <x:c r="K11" s="20" t="str">
        <x:v>扩大样本或补充结果变量后再升级</x:v>
      </x:c>
    </x:row>
    <x:row r="12" ht="74" customHeight="1">
      <x:c r="A12" s="20" t="str">
        <x:v>BQ02</x:v>
      </x:c>
      <x:c r="B12" s="20" t="str">
        <x:v>商业</x:v>
      </x:c>
      <x:c r="C12" s="20" t="str">
        <x:v>同轮是否存在主要机构、机构组合和集中持股？</x:v>
      </x:c>
      <x:c r="D12" s="20" t="str">
        <x:v>公司—事件</x:v>
      </x:c>
      <x:c r="E12" s="20" t="str">
        <x:v>CV012;CV013;CV021;CV022</x:v>
      </x:c>
      <x:c r="F12" s="20" t="str">
        <x:v>Stage 6个体比例</x:v>
      </x:c>
      <x:c r="G12" s="20" t="str">
        <x:v>最大机构、前两家合计、类型构成</x:v>
      </x:c>
      <x:c r="H12" s="20" t="str">
        <x:v>部分可用</x:v>
      </x:c>
      <x:c r="I12" s="20" t="str">
        <x:v>LIMITED_READY</x:v>
      </x:c>
      <x:c r="J12" s="20" t="str">
        <x:v>只有完整同轮投资者表才可判断集中度</x:v>
      </x:c>
      <x:c r="K12" s="20" t="str">
        <x:v>扩大样本或补充结果变量后再升级</x:v>
      </x:c>
    </x:row>
    <x:row r="13" ht="74" customHeight="1">
      <x:c r="A13" s="20" t="str">
        <x:v>BQ03</x:v>
      </x:c>
      <x:c r="B13" s="20" t="str">
        <x:v>商业</x:v>
      </x:c>
      <x:c r="C13" s="20" t="str">
        <x:v>企业融资频率、已知规模和投资者密度在八家公司中处于什么位置？</x:v>
      </x:c>
      <x:c r="D13" s="20" t="str">
        <x:v>公司</x:v>
      </x:c>
      <x:c r="E13" s="20" t="str">
        <x:v>CV002—CV010;CV020—CV022</x:v>
      </x:c>
      <x:c r="F13" s="20" t="str">
        <x:v>持股比例作案例注释</x:v>
      </x:c>
      <x:c r="G13" s="20" t="str">
        <x:v>样本内基准表</x:v>
      </x:c>
      <x:c r="H13" s="20" t="str">
        <x:v>可以回答</x:v>
      </x:c>
      <x:c r="I13" s="20" t="str">
        <x:v>DESCRIPTIVE_BENCHMARK_READY</x:v>
      </x:c>
      <x:c r="J13" s="20" t="str">
        <x:v>仅是八家公司内部基准，不是行业基准</x:v>
      </x:c>
      <x:c r="K13" s="20" t="str">
        <x:v>扩大样本或补充结果变量后再升级</x:v>
      </x:c>
    </x:row>
    <x:row r="14" ht="74" customHeight="1">
      <x:c r="A14" s="20" t="str">
        <x:v>BQ04</x:v>
      </x:c>
      <x:c r="B14" s="20" t="str">
        <x:v>商业尽调</x:v>
      </x:c>
      <x:c r="C14" s="20" t="str">
        <x:v>每项融资与投资者结论能否追溯到主体、事件、页码和原文？</x:v>
      </x:c>
      <x:c r="D14" s="20" t="str">
        <x:v>证据记录</x:v>
      </x:c>
      <x:c r="E14" s="20" t="str">
        <x:v>CV027—CV032</x:v>
      </x:c>
      <x:c r="F14" s="20" t="str">
        <x:v>27条测量证据ID和Stage 6原始披露索引</x:v>
      </x:c>
      <x:c r="G14" s="20" t="str">
        <x:v>证据链核验与缺口清单</x:v>
      </x:c>
      <x:c r="H14" s="20" t="str">
        <x:v>可以回答</x:v>
      </x:c>
      <x:c r="I14" s="20" t="str">
        <x:v>DUE_DILIGENCE_READY</x:v>
      </x:c>
      <x:c r="J14" s="20" t="str">
        <x:v>证据链完整不等于商业判断正确</x:v>
      </x:c>
      <x:c r="K14" s="20" t="str">
        <x:v>扩大样本或补充结果变量后再升级</x:v>
      </x:c>
    </x:row>
    <x:row r="15" ht="74" customHeight="1">
      <x:c r="A15" s="20" t="str">
        <x:v>BQ05</x:v>
      </x:c>
      <x:c r="B15" s="20" t="str">
        <x:v>商业</x:v>
      </x:c>
      <x:c r="C15" s="20" t="str">
        <x:v>PE/VC何时进入、通过何种方式进入、是否持续参与多轮？</x:v>
      </x:c>
      <x:c r="D15" s="20" t="str">
        <x:v>公司—路径</x:v>
      </x:c>
      <x:c r="E15" s="20" t="str">
        <x:v>CV014—CV019</x:v>
      </x:c>
      <x:c r="F15" s="20" t="str">
        <x:v>交易时点持股比例</x:v>
      </x:c>
      <x:c r="G15" s="20" t="str">
        <x:v>三家公司路径卡片</x:v>
      </x:c>
      <x:c r="H15" s="20" t="str">
        <x:v>可以回答案例</x:v>
      </x:c>
      <x:c r="I15" s="20" t="str">
        <x:v>CASE_PATH_READY</x:v>
      </x:c>
      <x:c r="J15" s="20" t="str">
        <x:v>未披露追加投资不得推定为没有追加</x:v>
      </x:c>
      <x:c r="K15" s="20" t="str">
        <x:v>扩大样本或补充结果变量后再升级</x:v>
      </x:c>
    </x:row>
    <x:row r="16" ht="74" customHeight="1">
      <x:c r="A16" s="21" t="str">
        <x:v>BQ06</x:v>
      </x:c>
      <x:c r="B16" s="21" t="str">
        <x:v>数据产品</x:v>
      </x:c>
      <x:c r="C16" s="21" t="str">
        <x:v>当前Schema和变量体系能否复用于新公司并暴露资料缺口？</x:v>
      </x:c>
      <x:c r="D16" s="21" t="str">
        <x:v>样本/流程</x:v>
      </x:c>
      <x:c r="E16" s="21" t="str">
        <x:v>32变量覆盖率;CV027—CV032</x:v>
      </x:c>
      <x:c r="F16" s="21" t="str">
        <x:v>69路径状态和5项正式停止</x:v>
      </x:c>
      <x:c r="G16" s="21" t="str">
        <x:v>扩展性测试清单</x:v>
      </x:c>
      <x:c r="H16" s="21" t="str">
        <x:v>尚需新公司验证</x:v>
      </x:c>
      <x:c r="I16" s="21" t="str">
        <x:v>NEXT_SAMPLE_TEST</x:v>
      </x:c>
      <x:c r="J16" s="21" t="str">
        <x:v>八家公司内部成功不能证明百分百覆盖新公司</x:v>
      </x:c>
      <x:c r="K16" s="21" t="str">
        <x:v>扩大样本或补充结果变量后再升级</x:v>
      </x:c>
    </x:row>
  </x:sheetData>
  <x:mergeCells>
    <x:mergeCell ref="A1:K1"/>
    <x:mergeCell ref="A2:K2"/>
  </x:mergeCells>
  <x:conditionalFormatting sqref="I5:I16">
    <x:cfRule type="containsText" dxfId="4" priority="1" operator="containsText" text="READY"/>
    <x:cfRule type="containsText" dxfId="5" priority="2" operator="containsText" text="LIMITED"/>
    <x:cfRule type="containsText" dxfId="6" priority="3" operator="containsText" text="NEXT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30" hidden="0" customWidth="1"/>
    <x:col min="4" max="4" width="54" hidden="0" customWidth="1"/>
    <x:col min="5" max="5" width="78" hidden="0" customWidth="1"/>
    <x:col min="6" max="6" width="62" hidden="0" customWidth="1"/>
    <x:col min="7" max="7" width="72" hidden="0" customWidth="1"/>
    <x:col min="8" max="8" width="39" hidden="0" customWidth="1"/>
  </x:cols>
  <x:sheetData>
    <x:row r="1" ht="30" customHeight="1">
      <x:c r="A1" s="3" t="str">
        <x:v>六个分析模块设计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M01—M05可以在八家公司成果上实施；M06用于后续第九、第十家公司扩展性验证。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1" t="str">
        <x:v>模块ID</x:v>
      </x:c>
      <x:c r="B4" s="11" t="str">
        <x:v>模块</x:v>
      </x:c>
      <x:c r="C4" s="11" t="str">
        <x:v>分析单位</x:v>
      </x:c>
      <x:c r="D4" s="11" t="str">
        <x:v>变量输入</x:v>
      </x:c>
      <x:c r="E4" s="11" t="str">
        <x:v>回答内容</x:v>
      </x:c>
      <x:c r="F4" s="11" t="str">
        <x:v>输出形式</x:v>
      </x:c>
      <x:c r="G4" s="11" t="str">
        <x:v>当前覆盖</x:v>
      </x:c>
      <x:c r="H4" s="11" t="str">
        <x:v>状态</x:v>
      </x:c>
    </x:row>
    <x:row r="5" ht="70" customHeight="1">
      <x:c r="A5" s="19" t="str">
        <x:v>M01</x:v>
      </x:c>
      <x:c r="B5" s="19" t="str">
        <x:v>八家公司融资画像</x:v>
      </x:c>
      <x:c r="C5" s="19" t="str">
        <x:v>公司</x:v>
      </x:c>
      <x:c r="D5" s="19" t="str">
        <x:v>CV001—CV010;CV027—CV030</x:v>
      </x:c>
      <x:c r="E5" s="19" t="str">
        <x:v>融资是否发生、轮数、已知金额、节奏和金额覆盖</x:v>
      </x:c>
      <x:c r="F5" s="19" t="str">
        <x:v>描述统计、样本内排序、公司画像</x:v>
      </x:c>
      <x:c r="G5" s="19" t="str">
        <x:v>14个变量全样本；金额类7/8；节奏类5/8</x:v>
      </x:c>
      <x:c r="H5" s="19" t="str">
        <x:v>READY_WITH_GATES</x:v>
      </x:c>
    </x:row>
    <x:row r="6" ht="70" customHeight="1">
      <x:c r="A6" s="20" t="str">
        <x:v>M02</x:v>
      </x:c>
      <x:c r="B6" s="20" t="str">
        <x:v>PE/VC参与与路径</x:v>
      </x:c>
      <x:c r="C6" s="20" t="str">
        <x:v>公司/公司—事件</x:v>
      </x:c>
      <x:c r="D6" s="20" t="str">
        <x:v>CV011—CV019</x:v>
      </x:c>
      <x:c r="E6" s="20" t="str">
        <x:v>是否参与、主体数、参与轮数、首次进入、方式、间接路径</x:v>
      </x:c>
      <x:c r="F6" s="20" t="str">
        <x:v>3对5探索性分组+3家公司时序案例</x:v>
      </x:c>
      <x:c r="G6" s="20" t="str">
        <x:v>只有3家公司存在确认PE/VC</x:v>
      </x:c>
      <x:c r="H6" s="20" t="str">
        <x:v>READY_CASE_PLUS_DESCRIPTIVE</x:v>
      </x:c>
    </x:row>
    <x:row r="7" ht="70" customHeight="1">
      <x:c r="A7" s="20" t="str">
        <x:v>M03</x:v>
      </x:c>
      <x:c r="B7" s="20" t="str">
        <x:v>共投与持股强度</x:v>
      </x:c>
      <x:c r="C7" s="20" t="str">
        <x:v>公司—事件—投资者</x:v>
      </x:c>
      <x:c r="D7" s="20" t="str">
        <x:v>CV020—CV023 + Stage 6比例</x:v>
      </x:c>
      <x:c r="E7" s="20" t="str">
        <x:v>投资者广度、密度、同轮个体和PE/VC合计比例</x:v>
      </x:c>
      <x:c r="F7" s="20" t="str">
        <x:v>事件表、共投结构表、稀释说明</x:v>
      </x:c>
      <x:c r="G7" s="20" t="str">
        <x:v>27条比例仅覆盖3家公司；CV023暂缓</x:v>
      </x:c>
      <x:c r="H7" s="20" t="str">
        <x:v>LIMITED_READY</x:v>
      </x:c>
    </x:row>
    <x:row r="8" ht="70" customHeight="1">
      <x:c r="A8" s="20" t="str">
        <x:v>M04</x:v>
      </x:c>
      <x:c r="B8" s="20" t="str">
        <x:v>融资与二级股权流动</x:v>
      </x:c>
      <x:c r="C8" s="20" t="str">
        <x:v>公司/交易</x:v>
      </x:c>
      <x:c r="D8" s="20" t="str">
        <x:v>CV024—CV026 + 路径类型</x:v>
      </x:c>
      <x:c r="E8" s="20" t="str">
        <x:v>股权转让次数、对价和与融资金额的相对关系</x:v>
      </x:c>
      <x:c r="F8" s="20" t="str">
        <x:v>公司案例和交易时间线</x:v>
      </x:c>
      <x:c r="G8" s="20" t="str">
        <x:v>CV026仅3家公司有效</x:v>
      </x:c>
      <x:c r="H8" s="20" t="str">
        <x:v>CASE_READY</x:v>
      </x:c>
    </x:row>
    <x:row r="9" ht="70" customHeight="1">
      <x:c r="A9" s="20" t="str">
        <x:v>M05</x:v>
      </x:c>
      <x:c r="B9" s="20" t="str">
        <x:v>数据质量与披露边界</x:v>
      </x:c>
      <x:c r="C9" s="20" t="str">
        <x:v>公司/字段/证据</x:v>
      </x:c>
      <x:c r="D9" s="20" t="str">
        <x:v>CV027—CV032 + Stage 6状态</x:v>
      </x:c>
      <x:c r="E9" s="20" t="str">
        <x:v>金额、日期、证据和持股比例的可用性</x:v>
      </x:c>
      <x:c r="F9" s="20" t="str">
        <x:v>覆盖率表、停止项、复现说明</x:v>
      </x:c>
      <x:c r="G9" s="20" t="str">
        <x:v>所有分析必须先过质量闸门</x:v>
      </x:c>
      <x:c r="H9" s="20" t="str">
        <x:v>READY</x:v>
      </x:c>
    </x:row>
    <x:row r="10" ht="70" customHeight="1">
      <x:c r="A10" s="21" t="str">
        <x:v>M06</x:v>
      </x:c>
      <x:c r="B10" s="21" t="str">
        <x:v>新样本扩展性验证</x:v>
      </x:c>
      <x:c r="C10" s="21" t="str">
        <x:v>公司/流程</x:v>
      </x:c>
      <x:c r="D10" s="21" t="str">
        <x:v>全部32变量+Stage 6比例规则</x:v>
      </x:c>
      <x:c r="E10" s="21" t="str">
        <x:v>Schema和变量能否覆盖新融资结构</x:v>
      </x:c>
      <x:c r="F10" s="21" t="str">
        <x:v>第九、第十家公司盲测</x:v>
      </x:c>
      <x:c r="G10" s="21" t="str">
        <x:v>尚未引入新样本</x:v>
      </x:c>
      <x:c r="H10" s="21" t="str">
        <x:v>NEXT_STAGE_AFTER_ANALYSIS</x:v>
      </x:c>
    </x:row>
  </x:sheetData>
  <x:mergeCells>
    <x:mergeCell ref="A1:H1"/>
    <x:mergeCell ref="A2:H2"/>
  </x:mergeCells>
  <x:conditionalFormatting sqref="H5:H10">
    <x:cfRule type="containsText" dxfId="7" priority="1" operator="containsText" text="READY"/>
    <x:cfRule type="containsText" dxfId="8" priority="2" operator="containsText" text="LIMITED"/>
    <x:cfRule type="containsText" dxfId="9" priority="3" operator="containsText" text="NEXT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3" hidden="0" customWidth="1"/>
    <x:col min="4" max="4" width="15" hidden="0" customWidth="1"/>
    <x:col min="5" max="5" width="24" hidden="0" customWidth="1"/>
    <x:col min="6" max="6" width="23" hidden="0" customWidth="1"/>
    <x:col min="7" max="7" width="19" hidden="0" customWidth="1"/>
    <x:col min="8" max="8" width="24" hidden="0" customWidth="1"/>
    <x:col min="9" max="9" width="20" hidden="0" customWidth="1"/>
    <x:col min="10" max="10" width="20" hidden="0" customWidth="1"/>
    <x:col min="11" max="11" width="22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18" hidden="0" customWidth="1"/>
    <x:col min="17" max="17" width="20" hidden="0" customWidth="1"/>
    <x:col min="18" max="18" width="18" hidden="0" customWidth="1"/>
    <x:col min="19" max="19" width="27" hidden="0" customWidth="1"/>
    <x:col min="20" max="20" width="26" hidden="0" customWidth="1"/>
    <x:col min="21" max="21" width="55" hidden="0" customWidth="1"/>
  </x:cols>
  <x:sheetData>
    <x:row r="1" ht="30" customHeight="1">
      <x:c r="A1" s="3" t="str">
        <x:v>八家公司研究画像输入表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42" customHeight="1">
      <x:c r="A2" s="7" t="str">
        <x:v>绿色数值来自Week 9冻结变量；末四列来自Stage 6测量与事件表。该表是下一阶段描述分析的统一输入。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36" customHeight="1">
      <x:c r="A4" s="11" t="str">
        <x:v>公司ID</x:v>
      </x:c>
      <x:c r="B4" s="11" t="str">
        <x:v>公司名称</x:v>
      </x:c>
      <x:c r="C4" s="11" t="str">
        <x:v>有融资</x:v>
      </x:c>
      <x:c r="D4" s="11" t="str">
        <x:v>融资轮数</x:v>
      </x:c>
      <x:c r="E4" s="11" t="str">
        <x:v>融资金额下限(万元)</x:v>
      </x:c>
      <x:c r="F4" s="11" t="str">
        <x:v>金额状态</x:v>
      </x:c>
      <x:c r="G4" s="11" t="str">
        <x:v>有确认PE/VC</x:v>
      </x:c>
      <x:c r="H4" s="11" t="str">
        <x:v>确认PE/VC主体数</x:v>
      </x:c>
      <x:c r="I4" s="11" t="str">
        <x:v>PE/VC参与轮数</x:v>
      </x:c>
      <x:c r="J4" s="11" t="str">
        <x:v>首次进入日期</x:v>
      </x:c>
      <x:c r="K4" s="11" t="str">
        <x:v>首次进入轮位置</x:v>
      </x:c>
      <x:c r="L4" s="11" t="str">
        <x:v>进入方式数</x:v>
      </x:c>
      <x:c r="M4" s="11" t="str">
        <x:v>直接主体数</x:v>
      </x:c>
      <x:c r="N4" s="11" t="str">
        <x:v>融资投资方数</x:v>
      </x:c>
      <x:c r="O4" s="11" t="str">
        <x:v>转让交易数</x:v>
      </x:c>
      <x:c r="P4" s="11" t="str">
        <x:v>金额覆盖率</x:v>
      </x:c>
      <x:c r="Q4" s="11" t="str">
        <x:v>披露限制标记</x:v>
      </x:c>
      <x:c r="R4" s="11" t="str">
        <x:v>比例测量数</x:v>
      </x:c>
      <x:c r="S4" s="11" t="str">
        <x:v>确认PE/VC比例测量数</x:v>
      </x:c>
      <x:c r="T4" s="11" t="str">
        <x:v>可解释PE/VC事件数</x:v>
      </x:c>
      <x:c r="U4" s="11" t="str">
        <x:v>比例说明</x:v>
      </x:c>
    </x:row>
    <x:row r="5" ht="56" customHeight="1">
      <x:c r="A5" s="44" t="str">
        <x:v>301563</x:v>
      </x:c>
      <x:c r="B5" s="19" t="str">
        <x:v>云汉芯城</x:v>
      </x:c>
      <x:c r="C5" s="32" t="n">
        <x:v>1</x:v>
      </x:c>
      <x:c r="D5" s="32" t="n">
        <x:v>7</x:v>
      </x:c>
      <x:c r="E5" s="35" t="n">
        <x:v>27120</x:v>
      </x:c>
      <x:c r="F5" s="32" t="str">
        <x:v>VALID</x:v>
      </x:c>
      <x:c r="G5" s="32" t="n">
        <x:v>1</x:v>
      </x:c>
      <x:c r="H5" s="32" t="n">
        <x:v>12</x:v>
      </x:c>
      <x:c r="I5" s="32" t="n">
        <x:v>5</x:v>
      </x:c>
      <x:c r="J5" s="32" t="str">
        <x:v>2014-08</x:v>
      </x:c>
      <x:c r="K5" s="38" t="n">
        <x:v>0.2857142857142857</x:v>
      </x:c>
      <x:c r="L5" s="32" t="n">
        <x:v>2</x:v>
      </x:c>
      <x:c r="M5" s="32" t="n">
        <x:v>35</x:v>
      </x:c>
      <x:c r="N5" s="32" t="n">
        <x:v>19</x:v>
      </x:c>
      <x:c r="O5" s="32" t="n">
        <x:v>20</x:v>
      </x:c>
      <x:c r="P5" s="41" t="n">
        <x:v>0.42857142857142855</x:v>
      </x:c>
      <x:c r="Q5" s="32" t="n">
        <x:v>1</x:v>
      </x:c>
      <x:c r="R5" s="32" t="n">
        <x:v>23</x:v>
      </x:c>
      <x:c r="S5" s="32" t="n">
        <x:v>12</x:v>
      </x:c>
      <x:c r="T5" s="32" t="n">
        <x:v>3</x:v>
      </x:c>
      <x:c r="U5" s="32" t="str">
        <x:v>有Stage 6比例测量</x:v>
      </x:c>
    </x:row>
    <x:row r="6" ht="56" customHeight="1">
      <x:c r="A6" s="45" t="str">
        <x:v>001282</x:v>
      </x:c>
      <x:c r="B6" s="20" t="str">
        <x:v>三联锻造</x:v>
      </x:c>
      <x:c r="C6" s="33" t="n">
        <x:v>1</x:v>
      </x:c>
      <x:c r="D6" s="33" t="n">
        <x:v>1</x:v>
      </x:c>
      <x:c r="E6" s="36" t="n">
        <x:v>1566</x:v>
      </x:c>
      <x:c r="F6" s="33" t="str">
        <x:v>VALID</x:v>
      </x:c>
      <x:c r="G6" s="33" t="n">
        <x:v>0</x:v>
      </x:c>
      <x:c r="H6" s="33" t="n">
        <x:v>0</x:v>
      </x:c>
      <x:c r="I6" s="33" t="n">
        <x:v>0</x:v>
      </x:c>
      <x:c r="J6" s="33"/>
      <x:c r="K6" s="39"/>
      <x:c r="L6" s="33" t="n">
        <x:v>0</x:v>
      </x:c>
      <x:c r="M6" s="33" t="n">
        <x:v>1</x:v>
      </x:c>
      <x:c r="N6" s="33" t="n">
        <x:v>1</x:v>
      </x:c>
      <x:c r="O6" s="33" t="n">
        <x:v>0</x:v>
      </x:c>
      <x:c r="P6" s="42" t="n">
        <x:v>1</x:v>
      </x:c>
      <x:c r="Q6" s="33" t="n">
        <x:v>1</x:v>
      </x:c>
      <x:c r="R6" s="33" t="n">
        <x:v>0</x:v>
      </x:c>
      <x:c r="S6" s="33" t="n">
        <x:v>0</x:v>
      </x:c>
      <x:c r="T6" s="33" t="n">
        <x:v>0</x:v>
      </x:c>
      <x:c r="U6" s="33" t="str">
        <x:v>无比例测量；不等于没有投资者</x:v>
      </x:c>
    </x:row>
    <x:row r="7" ht="56" customHeight="1">
      <x:c r="A7" s="45" t="str">
        <x:v>301581</x:v>
      </x:c>
      <x:c r="B7" s="20" t="str">
        <x:v>黄山谷捷</x:v>
      </x:c>
      <x:c r="C7" s="33" t="n">
        <x:v>1</x:v>
      </x:c>
      <x:c r="D7" s="33" t="n">
        <x:v>2</x:v>
      </x:c>
      <x:c r="E7" s="36" t="n">
        <x:v>13655.098274</x:v>
      </x:c>
      <x:c r="F7" s="33" t="str">
        <x:v>VALID</x:v>
      </x:c>
      <x:c r="G7" s="33" t="n">
        <x:v>0</x:v>
      </x:c>
      <x:c r="H7" s="33" t="n">
        <x:v>0</x:v>
      </x:c>
      <x:c r="I7" s="33" t="n">
        <x:v>0</x:v>
      </x:c>
      <x:c r="J7" s="33"/>
      <x:c r="K7" s="39"/>
      <x:c r="L7" s="33" t="n">
        <x:v>0</x:v>
      </x:c>
      <x:c r="M7" s="33" t="n">
        <x:v>6</x:v>
      </x:c>
      <x:c r="N7" s="33" t="n">
        <x:v>3</x:v>
      </x:c>
      <x:c r="O7" s="33" t="n">
        <x:v>1</x:v>
      </x:c>
      <x:c r="P7" s="42" t="n">
        <x:v>1</x:v>
      </x:c>
      <x:c r="Q7" s="33" t="n">
        <x:v>0</x:v>
      </x:c>
      <x:c r="R7" s="33" t="n">
        <x:v>0</x:v>
      </x:c>
      <x:c r="S7" s="33" t="n">
        <x:v>0</x:v>
      </x:c>
      <x:c r="T7" s="33" t="n">
        <x:v>0</x:v>
      </x:c>
      <x:c r="U7" s="33" t="str">
        <x:v>无比例测量；不等于没有投资者</x:v>
      </x:c>
    </x:row>
    <x:row r="8" ht="56" customHeight="1">
      <x:c r="A8" s="45" t="str">
        <x:v>603418</x:v>
      </x:c>
      <x:c r="B8" s="20" t="str">
        <x:v>友升股份</x:v>
      </x:c>
      <x:c r="C8" s="33" t="n">
        <x:v>1</x:v>
      </x:c>
      <x:c r="D8" s="33" t="n">
        <x:v>2</x:v>
      </x:c>
      <x:c r="E8" s="36" t="n">
        <x:v>48500</x:v>
      </x:c>
      <x:c r="F8" s="33" t="str">
        <x:v>VALID</x:v>
      </x:c>
      <x:c r="G8" s="33" t="n">
        <x:v>1</x:v>
      </x:c>
      <x:c r="H8" s="33" t="n">
        <x:v>2</x:v>
      </x:c>
      <x:c r="I8" s="33" t="n">
        <x:v>1</x:v>
      </x:c>
      <x:c r="J8" s="33" t="str">
        <x:v>2020-09</x:v>
      </x:c>
      <x:c r="K8" s="39" t="n">
        <x:v>0.5</x:v>
      </x:c>
      <x:c r="L8" s="33" t="n">
        <x:v>1</x:v>
      </x:c>
      <x:c r="M8" s="33" t="n">
        <x:v>13</x:v>
      </x:c>
      <x:c r="N8" s="33" t="n">
        <x:v>2</x:v>
      </x:c>
      <x:c r="O8" s="33" t="n">
        <x:v>0</x:v>
      </x:c>
      <x:c r="P8" s="42" t="n">
        <x:v>1</x:v>
      </x:c>
      <x:c r="Q8" s="33" t="n">
        <x:v>0</x:v>
      </x:c>
      <x:c r="R8" s="33" t="n">
        <x:v>2</x:v>
      </x:c>
      <x:c r="S8" s="33" t="n">
        <x:v>2</x:v>
      </x:c>
      <x:c r="T8" s="33" t="n">
        <x:v>1</x:v>
      </x:c>
      <x:c r="U8" s="33" t="str">
        <x:v>有Stage 6比例测量</x:v>
      </x:c>
    </x:row>
    <x:row r="9" ht="56" customHeight="1">
      <x:c r="A9" s="45" t="str">
        <x:v>688758</x:v>
      </x:c>
      <x:c r="B9" s="20" t="str">
        <x:v>赛分科技</x:v>
      </x:c>
      <x:c r="C9" s="33" t="n">
        <x:v>1</x:v>
      </x:c>
      <x:c r="D9" s="33" t="n">
        <x:v>3</x:v>
      </x:c>
      <x:c r="E9" s="36" t="n">
        <x:v>74000</x:v>
      </x:c>
      <x:c r="F9" s="33" t="str">
        <x:v>VALID</x:v>
      </x:c>
      <x:c r="G9" s="33" t="n">
        <x:v>0</x:v>
      </x:c>
      <x:c r="H9" s="33" t="n">
        <x:v>0</x:v>
      </x:c>
      <x:c r="I9" s="33" t="n">
        <x:v>0</x:v>
      </x:c>
      <x:c r="J9" s="33"/>
      <x:c r="K9" s="39"/>
      <x:c r="L9" s="33" t="n">
        <x:v>0</x:v>
      </x:c>
      <x:c r="M9" s="33" t="n">
        <x:v>17</x:v>
      </x:c>
      <x:c r="N9" s="33" t="n">
        <x:v>2</x:v>
      </x:c>
      <x:c r="O9" s="33" t="n">
        <x:v>2</x:v>
      </x:c>
      <x:c r="P9" s="42" t="n">
        <x:v>1</x:v>
      </x:c>
      <x:c r="Q9" s="33" t="n">
        <x:v>0</x:v>
      </x:c>
      <x:c r="R9" s="33" t="n">
        <x:v>0</x:v>
      </x:c>
      <x:c r="S9" s="33" t="n">
        <x:v>0</x:v>
      </x:c>
      <x:c r="T9" s="33" t="n">
        <x:v>0</x:v>
      </x:c>
      <x:c r="U9" s="33" t="str">
        <x:v>无比例测量；不等于没有投资者</x:v>
      </x:c>
    </x:row>
    <x:row r="10" ht="56" customHeight="1">
      <x:c r="A10" s="45" t="str">
        <x:v>688775</x:v>
      </x:c>
      <x:c r="B10" s="20" t="str">
        <x:v>影石创新</x:v>
      </x:c>
      <x:c r="C10" s="33" t="n">
        <x:v>0</x:v>
      </x:c>
      <x:c r="D10" s="33" t="n">
        <x:v>0</x:v>
      </x:c>
      <x:c r="E10" s="36"/>
      <x:c r="F10" s="33" t="str">
        <x:v>NOT_COMPUTABLE</x:v>
      </x:c>
      <x:c r="G10" s="33" t="n">
        <x:v>0</x:v>
      </x:c>
      <x:c r="H10" s="33" t="n">
        <x:v>0</x:v>
      </x:c>
      <x:c r="I10" s="33" t="n">
        <x:v>0</x:v>
      </x:c>
      <x:c r="J10" s="33"/>
      <x:c r="K10" s="39"/>
      <x:c r="L10" s="33" t="n">
        <x:v>0</x:v>
      </x:c>
      <x:c r="M10" s="33" t="n">
        <x:v>1</x:v>
      </x:c>
      <x:c r="N10" s="33" t="n">
        <x:v>0</x:v>
      </x:c>
      <x:c r="O10" s="33" t="n">
        <x:v>1</x:v>
      </x:c>
      <x:c r="P10" s="42"/>
      <x:c r="Q10" s="33" t="n">
        <x:v>1</x:v>
      </x:c>
      <x:c r="R10" s="33" t="n">
        <x:v>0</x:v>
      </x:c>
      <x:c r="S10" s="33" t="n">
        <x:v>0</x:v>
      </x:c>
      <x:c r="T10" s="33" t="n">
        <x:v>0</x:v>
      </x:c>
      <x:c r="U10" s="33" t="str">
        <x:v>无比例测量；不等于没有投资者</x:v>
      </x:c>
    </x:row>
    <x:row r="11" ht="56" customHeight="1">
      <x:c r="A11" s="45" t="str">
        <x:v>920100</x:v>
      </x:c>
      <x:c r="B11" s="20" t="str">
        <x:v>三协电机</x:v>
      </x:c>
      <x:c r="C11" s="33" t="n">
        <x:v>1</x:v>
      </x:c>
      <x:c r="D11" s="33" t="n">
        <x:v>2</x:v>
      </x:c>
      <x:c r="E11" s="36" t="n">
        <x:v>4097.49</x:v>
      </x:c>
      <x:c r="F11" s="33" t="str">
        <x:v>VALID</x:v>
      </x:c>
      <x:c r="G11" s="33" t="n">
        <x:v>1</x:v>
      </x:c>
      <x:c r="H11" s="33" t="n">
        <x:v>2</x:v>
      </x:c>
      <x:c r="I11" s="33" t="n">
        <x:v>1</x:v>
      </x:c>
      <x:c r="J11" s="33" t="str">
        <x:v>2022-09-01</x:v>
      </x:c>
      <x:c r="K11" s="39" t="n">
        <x:v>0.5</x:v>
      </x:c>
      <x:c r="L11" s="33" t="n">
        <x:v>1</x:v>
      </x:c>
      <x:c r="M11" s="33" t="n">
        <x:v>17</x:v>
      </x:c>
      <x:c r="N11" s="33" t="n">
        <x:v>2</x:v>
      </x:c>
      <x:c r="O11" s="33" t="n">
        <x:v>0</x:v>
      </x:c>
      <x:c r="P11" s="42" t="n">
        <x:v>1</x:v>
      </x:c>
      <x:c r="Q11" s="33" t="n">
        <x:v>0</x:v>
      </x:c>
      <x:c r="R11" s="33" t="n">
        <x:v>2</x:v>
      </x:c>
      <x:c r="S11" s="33" t="n">
        <x:v>2</x:v>
      </x:c>
      <x:c r="T11" s="33" t="n">
        <x:v>1</x:v>
      </x:c>
      <x:c r="U11" s="33" t="str">
        <x:v>有Stage 6比例测量</x:v>
      </x:c>
    </x:row>
    <x:row r="12" ht="56" customHeight="1">
      <x:c r="A12" s="46" t="str">
        <x:v>920116</x:v>
      </x:c>
      <x:c r="B12" s="21" t="str">
        <x:v>星图测控</x:v>
      </x:c>
      <x:c r="C12" s="34" t="n">
        <x:v>1</x:v>
      </x:c>
      <x:c r="D12" s="34" t="n">
        <x:v>1</x:v>
      </x:c>
      <x:c r="E12" s="37" t="n">
        <x:v>4725</x:v>
      </x:c>
      <x:c r="F12" s="34" t="str">
        <x:v>VALID</x:v>
      </x:c>
      <x:c r="G12" s="34" t="n">
        <x:v>0</x:v>
      </x:c>
      <x:c r="H12" s="34" t="n">
        <x:v>0</x:v>
      </x:c>
      <x:c r="I12" s="34" t="n">
        <x:v>0</x:v>
      </x:c>
      <x:c r="J12" s="34"/>
      <x:c r="K12" s="40"/>
      <x:c r="L12" s="34" t="n">
        <x:v>0</x:v>
      </x:c>
      <x:c r="M12" s="34" t="n">
        <x:v>3</x:v>
      </x:c>
      <x:c r="N12" s="34" t="n">
        <x:v>3</x:v>
      </x:c>
      <x:c r="O12" s="34" t="n">
        <x:v>0</x:v>
      </x:c>
      <x:c r="P12" s="43" t="n">
        <x:v>1</x:v>
      </x:c>
      <x:c r="Q12" s="34" t="n">
        <x:v>0</x:v>
      </x:c>
      <x:c r="R12" s="34" t="n">
        <x:v>0</x:v>
      </x:c>
      <x:c r="S12" s="34" t="n">
        <x:v>0</x:v>
      </x:c>
      <x:c r="T12" s="34" t="n">
        <x:v>0</x:v>
      </x:c>
      <x:c r="U12" s="34" t="str">
        <x:v>无比例测量；不等于没有投资者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16" hidden="0" customWidth="1"/>
    <x:col min="4" max="4" width="23" hidden="0" customWidth="1"/>
    <x:col min="5" max="5" width="18" hidden="0" customWidth="1"/>
    <x:col min="6" max="6" width="31" hidden="0" customWidth="1"/>
    <x:col min="7" max="7" width="26" hidden="0" customWidth="1"/>
    <x:col min="8" max="8" width="28" hidden="0" customWidth="1"/>
    <x:col min="9" max="9" width="25" hidden="0" customWidth="1"/>
    <x:col min="10" max="10" width="82" hidden="0" customWidth="1"/>
  </x:cols>
  <x:sheetData>
    <x:row r="1" ht="30" customHeight="1">
      <x:c r="A1" s="3" t="str">
        <x:v>PE/VC有无的探索性分组比较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7" t="str">
        <x:v>3家公司对5家公司，仅用于形成研究假设。所有数值由‘八公司研究画像’公式计算，不进行显著性检验。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6" customHeight="1">
      <x:c r="A4" s="11" t="str">
        <x:v>分组</x:v>
      </x:c>
      <x:c r="B4" s="11" t="str">
        <x:v>PE/VC标记</x:v>
      </x:c>
      <x:c r="C4" s="11" t="str">
        <x:v>公司数</x:v>
      </x:c>
      <x:c r="D4" s="11" t="str">
        <x:v>平均融资轮数</x:v>
      </x:c>
      <x:c r="E4" s="11" t="str">
        <x:v>金额有效N</x:v>
      </x:c>
      <x:c r="F4" s="11" t="str">
        <x:v>平均融资金额下限(万元)</x:v>
      </x:c>
      <x:c r="G4" s="11" t="str">
        <x:v>平均直接主体数</x:v>
      </x:c>
      <x:c r="H4" s="11" t="str">
        <x:v>平均融资投资方数</x:v>
      </x:c>
      <x:c r="I4" s="11" t="str">
        <x:v>平均转让交易数</x:v>
      </x:c>
      <x:c r="J4" s="11" t="str">
        <x:v>解释边界</x:v>
      </x:c>
    </x:row>
    <x:row r="5" ht="58" customHeight="1">
      <x:c r="A5" s="19" t="str">
        <x:v>确认PE/VC公司</x:v>
      </x:c>
      <x:c r="B5" s="19" t="n">
        <x:v>1</x:v>
      </x:c>
      <x:c r="C5" s="19" t="n">
        <x:f>COUNTIF('八公司研究画像'!$G$5:$G$12,B5)</x:f>
        <x:v>3</x:v>
      </x:c>
      <x:c r="D5" s="47" t="n">
        <x:f>AVERAGEIF('八公司研究画像'!$G$5:$G$12,B5,'八公司研究画像'!$D$5:$D$12)</x:f>
        <x:v>3.6666666666666665</x:v>
      </x:c>
      <x:c r="E5" s="19" t="n">
        <x:f>COUNTIFS('八公司研究画像'!$G$5:$G$12,B5,'八公司研究画像'!$F$5:$F$12,"VALID")</x:f>
        <x:v>3</x:v>
      </x:c>
      <x:c r="F5" s="49" t="n">
        <x:f>IF(E5=0,"",SUMIF('八公司研究画像'!$G$5:$G$12,B5,'八公司研究画像'!$E$5:$E$12)/E5)</x:f>
        <x:v>26572.49666666667</x:v>
      </x:c>
      <x:c r="G5" s="49" t="n">
        <x:f>AVERAGEIF('八公司研究画像'!$G$5:$G$12,B5,'八公司研究画像'!$M$5:$M$12)</x:f>
        <x:v>21.666666666666668</x:v>
      </x:c>
      <x:c r="H5" s="49" t="n">
        <x:f>AVERAGEIF('八公司研究画像'!$G$5:$G$12,B5,'八公司研究画像'!$N$5:$N$12)</x:f>
        <x:v>7.666666666666667</x:v>
      </x:c>
      <x:c r="I5" s="49" t="n">
        <x:f>AVERAGEIF('八公司研究画像'!$G$5:$G$12,B5,'八公司研究画像'!$O$5:$O$12)</x:f>
        <x:v>6.666666666666667</x:v>
      </x:c>
      <x:c r="J5" s="19" t="str">
        <x:v>3家公司；仅作探索性描述</x:v>
      </x:c>
    </x:row>
    <x:row r="6" ht="58" customHeight="1">
      <x:c r="A6" s="21" t="str">
        <x:v>无确认PE/VC公司</x:v>
      </x:c>
      <x:c r="B6" s="21" t="n">
        <x:v>0</x:v>
      </x:c>
      <x:c r="C6" s="21" t="n">
        <x:f>COUNTIF('八公司研究画像'!$G$5:$G$12,B6)</x:f>
        <x:v>5</x:v>
      </x:c>
      <x:c r="D6" s="48" t="n">
        <x:f>AVERAGEIF('八公司研究画像'!$G$5:$G$12,B6,'八公司研究画像'!$D$5:$D$12)</x:f>
        <x:v>1.4</x:v>
      </x:c>
      <x:c r="E6" s="21" t="n">
        <x:f>COUNTIFS('八公司研究画像'!$G$5:$G$12,B6,'八公司研究画像'!$F$5:$F$12,"VALID")</x:f>
        <x:v>4</x:v>
      </x:c>
      <x:c r="F6" s="50" t="n">
        <x:f>IF(E6=0,"",SUMIF('八公司研究画像'!$G$5:$G$12,B6,'八公司研究画像'!$E$5:$E$12)/E6)</x:f>
        <x:v>23486.5245685</x:v>
      </x:c>
      <x:c r="G6" s="50" t="n">
        <x:f>AVERAGEIF('八公司研究画像'!$G$5:$G$12,B6,'八公司研究画像'!$M$5:$M$12)</x:f>
        <x:v>5.6</x:v>
      </x:c>
      <x:c r="H6" s="50" t="n">
        <x:f>AVERAGEIF('八公司研究画像'!$G$5:$G$12,B6,'八公司研究画像'!$N$5:$N$12)</x:f>
        <x:v>1.8</x:v>
      </x:c>
      <x:c r="I6" s="50" t="n">
        <x:f>AVERAGEIF('八公司研究画像'!$G$5:$G$12,B6,'八公司研究画像'!$O$5:$O$12)</x:f>
        <x:v>0.8</x:v>
      </x:c>
      <x:c r="J6" s="21" t="str">
        <x:v>5家公司；0指冻结口径未确认PE/VC</x:v>
      </x:c>
    </x:row>
    <x:row r="9" ht="40" customHeight="1">
      <x:c r="A9" s="24" t="str">
        <x:v>使用规则：分组差异只能描述为‘本样本中呈现更高/更低’，不能表述为PE/VC造成了差异。样本选择、公司阶段、融资需求和行业差异均可能同时影响结果。</x:v>
      </x:c>
      <x:c r="B9" s="24"/>
      <x:c r="C9" s="24"/>
      <x:c r="D9" s="24"/>
      <x:c r="E9" s="24"/>
      <x:c r="F9" s="24"/>
      <x:c r="G9" s="24"/>
      <x:c r="H9" s="24"/>
      <x:c r="I9" s="24"/>
      <x:c r="J9" s="24"/>
    </x:row>
    <x:row r="10" ht="40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</x:sheetData>
  <x:mergeCells>
    <x:mergeCell ref="A1:J1"/>
    <x:mergeCell ref="A2:J2"/>
    <x:mergeCell ref="A9:J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17" hidden="0" customWidth="1"/>
    <x:col min="4" max="4" width="18" hidden="0" customWidth="1"/>
    <x:col min="5" max="5" width="78" hidden="0" customWidth="1"/>
    <x:col min="6" max="6" width="72" hidden="0" customWidth="1"/>
    <x:col min="7" max="7" width="91" hidden="0" customWidth="1"/>
  </x:cols>
  <x:sheetData>
    <x:row r="1" ht="30" customHeight="1">
      <x:c r="A1" s="3" t="str">
        <x:v>学术价值清单</x:v>
      </x:c>
      <x:c r="B1" s="3"/>
      <x:c r="C1" s="3"/>
      <x:c r="D1" s="3"/>
      <x:c r="E1" s="3"/>
      <x:c r="F1" s="3"/>
      <x:c r="G1" s="3"/>
    </x:row>
    <x:row r="2" ht="42" customHeight="1">
      <x:c r="A2" s="7" t="str">
        <x:v>优先开发能够清楚说明变量、证据和限制的描述研究与案例研究。</x:v>
      </x:c>
      <x:c r="B2" s="7"/>
      <x:c r="C2" s="7"/>
      <x:c r="D2" s="7"/>
      <x:c r="E2" s="7"/>
      <x:c r="F2" s="7"/>
      <x:c r="G2" s="7"/>
    </x:row>
    <x:row r="4" ht="36" customHeight="1">
      <x:c r="A4" s="11" t="str">
        <x:v>价值ID</x:v>
      </x:c>
      <x:c r="B4" s="11" t="str">
        <x:v>方向</x:v>
      </x:c>
      <x:c r="C4" s="11" t="str">
        <x:v>优先级</x:v>
      </x:c>
      <x:c r="D4" s="11" t="str">
        <x:v>模块</x:v>
      </x:c>
      <x:c r="E4" s="11" t="str">
        <x:v>数据基础</x:v>
      </x:c>
      <x:c r="F4" s="11" t="str">
        <x:v>可形成成果</x:v>
      </x:c>
      <x:c r="G4" s="11" t="str">
        <x:v>核心限制</x:v>
      </x:c>
    </x:row>
    <x:row r="5" ht="72" customHeight="1">
      <x:c r="A5" s="19" t="str">
        <x:v>AV01</x:v>
      </x:c>
      <x:c r="B5" s="19" t="str">
        <x:v>融资结构异质性</x:v>
      </x:c>
      <x:c r="C5" s="19" t="str">
        <x:v>高</x:v>
      </x:c>
      <x:c r="D5" s="19" t="str">
        <x:v>M01</x:v>
      </x:c>
      <x:c r="E5" s="19" t="str">
        <x:v>轮数、已知金额、时间跨度、单轮规模和集中度</x:v>
      </x:c>
      <x:c r="F5" s="19" t="str">
        <x:v>八家公司描述性比较</x:v>
      </x:c>
      <x:c r="G5" s="19" t="str">
        <x:v>有效N与金额/日期覆盖率必须同时报告</x:v>
      </x:c>
    </x:row>
    <x:row r="6" ht="72" customHeight="1">
      <x:c r="A6" s="20" t="str">
        <x:v>AV02</x:v>
      </x:c>
      <x:c r="B6" s="20" t="str">
        <x:v>PE/VC参与差异</x:v>
      </x:c>
      <x:c r="C6" s="20" t="str">
        <x:v>中</x:v>
      </x:c>
      <x:c r="D6" s="20" t="str">
        <x:v>M02</x:v>
      </x:c>
      <x:c r="E6" s="20" t="str">
        <x:v>有无PE/VC、机构数、参与轮数、进入时点与方式</x:v>
      </x:c>
      <x:c r="F6" s="20" t="str">
        <x:v>3对5探索性分组；不检验显著性</x:v>
      </x:c>
      <x:c r="G6" s="20" t="str">
        <x:v>PE/VC自选择与小样本限制</x:v>
      </x:c>
    </x:row>
    <x:row r="7" ht="72" customHeight="1">
      <x:c r="A7" s="20" t="str">
        <x:v>AV03</x:v>
      </x:c>
      <x:c r="B7" s="20" t="str">
        <x:v>PE/VC持股强度与共投</x:v>
      </x:c>
      <x:c r="C7" s="20" t="str">
        <x:v>中</x:v>
      </x:c>
      <x:c r="D7" s="20" t="str">
        <x:v>M02/M03</x:v>
      </x:c>
      <x:c r="E7" s="20" t="str">
        <x:v>同轮个体比例、确认PE/VC合计、产业投资者比例</x:v>
      </x:c>
      <x:c r="F7" s="20" t="str">
        <x:v>三家公司事件案例</x:v>
      </x:c>
      <x:c r="G7" s="20" t="str">
        <x:v>不能把不同交易时点比例直接横向加总</x:v>
      </x:c>
    </x:row>
    <x:row r="8" ht="72" customHeight="1">
      <x:c r="A8" s="20" t="str">
        <x:v>AV04</x:v>
      </x:c>
      <x:c r="B8" s="20" t="str">
        <x:v>融资与老股转让机制</x:v>
      </x:c>
      <x:c r="C8" s="20" t="str">
        <x:v>中低</x:v>
      </x:c>
      <x:c r="D8" s="20" t="str">
        <x:v>M04</x:v>
      </x:c>
      <x:c r="E8" s="20" t="str">
        <x:v>融资轮数、转让次数、对价比、进入方式</x:v>
      </x:c>
      <x:c r="F8" s="20" t="str">
        <x:v>三至四家公司案例</x:v>
      </x:c>
      <x:c r="G8" s="20" t="str">
        <x:v>金额为可核验下限，不是完整资本流量</x:v>
      </x:c>
    </x:row>
    <x:row r="9" ht="72" customHeight="1">
      <x:c r="A9" s="21" t="str">
        <x:v>AV05</x:v>
      </x:c>
      <x:c r="B9" s="21" t="str">
        <x:v>招股书数据测量方法</x:v>
      </x:c>
      <x:c r="C9" s="21" t="str">
        <x:v>高</x:v>
      </x:c>
      <x:c r="D9" s="21" t="str">
        <x:v>M05</x:v>
      </x:c>
      <x:c r="E9" s="21" t="str">
        <x:v>缺失类型、证据密度、比例覆盖和正式停止规则</x:v>
      </x:c>
      <x:c r="F9" s="21" t="str">
        <x:v>方法论文/数据论文基础</x:v>
      </x:c>
      <x:c r="G9" s="21" t="str">
        <x:v>研究对象是披露和测量过程，不评价企业优劣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4" hidden="0" customWidth="1"/>
    <x:col min="3" max="3" width="17" hidden="0" customWidth="1"/>
    <x:col min="4" max="4" width="18" hidden="0" customWidth="1"/>
    <x:col min="5" max="5" width="75" hidden="0" customWidth="1"/>
    <x:col min="6" max="6" width="76" hidden="0" customWidth="1"/>
    <x:col min="7" max="7" width="93" hidden="0" customWidth="1"/>
  </x:cols>
  <x:sheetData>
    <x:row r="1" ht="30" customHeight="1">
      <x:c r="A1" s="3" t="str">
        <x:v>商业价值清单</x:v>
      </x:c>
      <x:c r="B1" s="3"/>
      <x:c r="C1" s="3"/>
      <x:c r="D1" s="3"/>
      <x:c r="E1" s="3"/>
      <x:c r="F1" s="3"/>
      <x:c r="G1" s="3"/>
    </x:row>
    <x:row r="2" ht="42" customHeight="1">
      <x:c r="A2" s="7" t="str">
        <x:v>商业用途集中在融资复盘、股权结构核验、投资路径尽调和数据室质量，不进行估值或投资建议。</x:v>
      </x:c>
      <x:c r="B2" s="7"/>
      <x:c r="C2" s="7"/>
      <x:c r="D2" s="7"/>
      <x:c r="E2" s="7"/>
      <x:c r="F2" s="7"/>
      <x:c r="G2" s="7"/>
    </x:row>
    <x:row r="4" ht="36" customHeight="1">
      <x:c r="A4" s="11" t="str">
        <x:v>价值ID</x:v>
      </x:c>
      <x:c r="B4" s="11" t="str">
        <x:v>方向</x:v>
      </x:c>
      <x:c r="C4" s="11" t="str">
        <x:v>优先级</x:v>
      </x:c>
      <x:c r="D4" s="11" t="str">
        <x:v>模块</x:v>
      </x:c>
      <x:c r="E4" s="11" t="str">
        <x:v>数据基础</x:v>
      </x:c>
      <x:c r="F4" s="11" t="str">
        <x:v>可形成成果</x:v>
      </x:c>
      <x:c r="G4" s="11" t="str">
        <x:v>核心限制</x:v>
      </x:c>
    </x:row>
    <x:row r="5" ht="72" customHeight="1">
      <x:c r="A5" s="19" t="str">
        <x:v>BV01</x:v>
      </x:c>
      <x:c r="B5" s="19" t="str">
        <x:v>融资策略样本内基准</x:v>
      </x:c>
      <x:c r="C5" s="19" t="str">
        <x:v>高</x:v>
      </x:c>
      <x:c r="D5" s="19" t="str">
        <x:v>M01</x:v>
      </x:c>
      <x:c r="E5" s="19" t="str">
        <x:v>轮数、节奏、已知金额、投资者密度</x:v>
      </x:c>
      <x:c r="F5" s="19" t="str">
        <x:v>用于案例对标和融资复盘</x:v>
      </x:c>
      <x:c r="G5" s="19" t="str">
        <x:v>不是行业或估值基准</x:v>
      </x:c>
    </x:row>
    <x:row r="6" ht="72" customHeight="1">
      <x:c r="A6" s="20" t="str">
        <x:v>BV02</x:v>
      </x:c>
      <x:c r="B6" s="20" t="str">
        <x:v>投资者结构与稀释核验</x:v>
      </x:c>
      <x:c r="C6" s="20" t="str">
        <x:v>高</x:v>
      </x:c>
      <x:c r="D6" s="20" t="str">
        <x:v>M02/M03</x:v>
      </x:c>
      <x:c r="E6" s="20" t="str">
        <x:v>投资者类型、进入方式、交易后持股</x:v>
      </x:c>
      <x:c r="F6" s="20" t="str">
        <x:v>支持股权融资条款和稀释审阅</x:v>
      </x:c>
      <x:c r="G6" s="20" t="str">
        <x:v>无完整股东表时不判断控制权</x:v>
      </x:c>
    </x:row>
    <x:row r="7" ht="72" customHeight="1">
      <x:c r="A7" s="20" t="str">
        <x:v>BV03</x:v>
      </x:c>
      <x:c r="B7" s="20" t="str">
        <x:v>PE/VC路径尽调</x:v>
      </x:c>
      <x:c r="C7" s="20" t="str">
        <x:v>高</x:v>
      </x:c>
      <x:c r="D7" s="20" t="str">
        <x:v>M02</x:v>
      </x:c>
      <x:c r="E7" s="20" t="str">
        <x:v>法律主体、投资路径、首次进入、连续参与</x:v>
      </x:c>
      <x:c r="F7" s="20" t="str">
        <x:v>支持主体穿透和路径复核</x:v>
      </x:c>
      <x:c r="G7" s="20" t="str">
        <x:v>候选/关联主体不能自动升级为确认PE/VC</x:v>
      </x:c>
    </x:row>
    <x:row r="8" ht="72" customHeight="1">
      <x:c r="A8" s="20" t="str">
        <x:v>BV04</x:v>
      </x:c>
      <x:c r="B8" s="20" t="str">
        <x:v>一级融资与老股交易区分</x:v>
      </x:c>
      <x:c r="C8" s="20" t="str">
        <x:v>中</x:v>
      </x:c>
      <x:c r="D8" s="20" t="str">
        <x:v>M04</x:v>
      </x:c>
      <x:c r="E8" s="20" t="str">
        <x:v>增资金额、转让对价、路径类型</x:v>
      </x:c>
      <x:c r="F8" s="20" t="str">
        <x:v>区分资金进入公司与股东退出</x:v>
      </x:c>
      <x:c r="G8" s="20" t="str">
        <x:v>不可把两类金额合并为公司融资额</x:v>
      </x:c>
    </x:row>
    <x:row r="9" ht="72" customHeight="1">
      <x:c r="A9" s="20" t="str">
        <x:v>BV05</x:v>
      </x:c>
      <x:c r="B9" s="20" t="str">
        <x:v>数据室与披露风险检查</x:v>
      </x:c>
      <x:c r="C9" s="20" t="str">
        <x:v>高</x:v>
      </x:c>
      <x:c r="D9" s="20" t="str">
        <x:v>M05</x:v>
      </x:c>
      <x:c r="E9" s="20" t="str">
        <x:v>证据页码、覆盖率、缺失原因和停止项</x:v>
      </x:c>
      <x:c r="F9" s="20" t="str">
        <x:v>支持资料缺口清单与复核优先级</x:v>
      </x:c>
      <x:c r="G9" s="20" t="str">
        <x:v>披露缺口只是尽调事项，不是负面结论</x:v>
      </x:c>
    </x:row>
    <x:row r="10" ht="72" customHeight="1">
      <x:c r="A10" s="21" t="str">
        <x:v>BV06</x:v>
      </x:c>
      <x:c r="B10" s="21" t="str">
        <x:v>可复用融资数据产品</x:v>
      </x:c>
      <x:c r="C10" s="21" t="str">
        <x:v>中</x:v>
      </x:c>
      <x:c r="D10" s="21" t="str">
        <x:v>M06</x:v>
      </x:c>
      <x:c r="E10" s="21" t="str">
        <x:v>Schema、变量字典、证据等级和计算规则</x:v>
      </x:c>
      <x:c r="F10" s="21" t="str">
        <x:v>可扩展到新增公司测试</x:v>
      </x:c>
      <x:c r="G10" s="21" t="str">
        <x:v>需要第九、第十家公司验证边界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5" hidden="0" customWidth="1"/>
    <x:col min="3" max="3" width="88" hidden="0" customWidth="1"/>
    <x:col min="4" max="4" width="88" hidden="0" customWidth="1"/>
    <x:col min="5" max="5" width="34" hidden="0" customWidth="1"/>
  </x:cols>
  <x:sheetData>
    <x:row r="1" ht="30" customHeight="1">
      <x:c r="A1" s="3" t="str">
        <x:v>当前不开展的分析</x:v>
      </x:c>
      <x:c r="B1" s="3"/>
      <x:c r="C1" s="3"/>
      <x:c r="D1" s="3"/>
      <x:c r="E1" s="3"/>
    </x:row>
    <x:row r="2" ht="42" customHeight="1">
      <x:c r="A2" s="7" t="str">
        <x:v>充分利用数据不等于强行计算；以下分析在现有证据或样本条件下会造成误导。</x:v>
      </x:c>
      <x:c r="B2" s="7"/>
      <x:c r="C2" s="7"/>
      <x:c r="D2" s="7"/>
      <x:c r="E2" s="7"/>
    </x:row>
    <x:row r="4" ht="36" customHeight="1">
      <x:c r="A4" s="11" t="str">
        <x:v>边界ID</x:v>
      </x:c>
      <x:c r="B4" s="11" t="str">
        <x:v>暂不开展事项</x:v>
      </x:c>
      <x:c r="C4" s="11" t="str">
        <x:v>原因</x:v>
      </x:c>
      <x:c r="D4" s="11" t="str">
        <x:v>重启条件/替代做法</x:v>
      </x:c>
      <x:c r="E4" s="11" t="str">
        <x:v>状态</x:v>
      </x:c>
    </x:row>
    <x:row r="5" ht="75" customHeight="1">
      <x:c r="A5" s="19" t="str">
        <x:v>N01</x:v>
      </x:c>
      <x:c r="B5" s="19" t="str">
        <x:v>统计显著性检验/回归</x:v>
      </x:c>
      <x:c r="C5" s="19" t="str">
        <x:v>样本只有8家公司，PE/VC组仅3家</x:v>
      </x:c>
      <x:c r="D5" s="19" t="str">
        <x:v>扩大样本并重新设计抽样框</x:v>
      </x:c>
      <x:c r="E5" s="19" t="str">
        <x:v>DEFERRED</x:v>
      </x:c>
    </x:row>
    <x:row r="6" ht="75" customHeight="1">
      <x:c r="A6" s="20" t="str">
        <x:v>N02</x:v>
      </x:c>
      <x:c r="B6" s="20" t="str">
        <x:v>PE/VC导致融资规模、IPO表现或经营绩效改善的因果结论</x:v>
      </x:c>
      <x:c r="C6" s="20" t="str">
        <x:v>存在明显自选择且缺结果变量</x:v>
      </x:c>
      <x:c r="D6" s="20" t="str">
        <x:v>扩大样本、补结果变量并处理内生性</x:v>
      </x:c>
      <x:c r="E6" s="20" t="str">
        <x:v>DEFERRED</x:v>
      </x:c>
    </x:row>
    <x:row r="7" ht="75" customHeight="1">
      <x:c r="A7" s="20" t="str">
        <x:v>N03</x:v>
      </x:c>
      <x:c r="B7" s="20" t="str">
        <x:v>八家公司总体融资金额求和作为核心结论</x:v>
      </x:c>
      <x:c r="C7" s="20" t="str">
        <x:v>公司披露口径和历史完整度不同，总和经济含义弱</x:v>
      </x:c>
      <x:c r="D7" s="20" t="str">
        <x:v>以公司级分布、有效N和下限口径呈现</x:v>
      </x:c>
      <x:c r="E7" s="20" t="str">
        <x:v>NOT_RECOMMENDED</x:v>
      </x:c>
    </x:row>
    <x:row r="8" ht="75" customHeight="1">
      <x:c r="A8" s="20" t="str">
        <x:v>N04</x:v>
      </x:c>
      <x:c r="B8" s="20" t="str">
        <x:v>用后续股东快照倒推早期持股</x:v>
      </x:c>
      <x:c r="C8" s="20" t="str">
        <x:v>跨交易、转增和取整会破坏交易时点口径</x:v>
      </x:c>
      <x:c r="D8" s="20" t="str">
        <x:v>取得同轮协议、验资报告或股东名册</x:v>
      </x:c>
      <x:c r="E8" s="20" t="str">
        <x:v>PROHIBITED</x:v>
      </x:c>
    </x:row>
    <x:row r="9" ht="75" customHeight="1">
      <x:c r="A9" s="20" t="str">
        <x:v>N05</x:v>
      </x:c>
      <x:c r="B9" s="20" t="str">
        <x:v>把null、STRUCTURAL_NA和0合并</x:v>
      </x:c>
      <x:c r="C9" s="20" t="str">
        <x:v>三者含义不同，会制造错误比较</x:v>
      </x:c>
      <x:c r="D9" s="20" t="str">
        <x:v>保留状态字段并按规则解释</x:v>
      </x:c>
      <x:c r="E9" s="20" t="str">
        <x:v>PROHIBITED</x:v>
      </x:c>
    </x:row>
    <x:row r="10" ht="75" customHeight="1">
      <x:c r="A10" s="21" t="str">
        <x:v>N06</x:v>
      </x:c>
      <x:c r="B10" s="21" t="str">
        <x:v>把八家公司成果宣称为百分百覆盖新公司</x:v>
      </x:c>
      <x:c r="C10" s="21" t="str">
        <x:v>尚未经过新融资结构测试</x:v>
      </x:c>
      <x:c r="D10" s="21" t="str">
        <x:v>用第九、第十家公司盲测</x:v>
      </x:c>
      <x:c r="E10" s="21" t="str">
        <x:v>NEXT_VALIDATION</x:v>
      </x:c>
    </x:row>
  </x:sheetData>
  <x:mergeCells>
    <x:mergeCell ref="A1:E1"/>
    <x:mergeCell ref="A2:E2"/>
  </x:mergeCells>
  <x:conditionalFormatting sqref="E5:E10">
    <x:cfRule type="containsText" dxfId="10" priority="1" operator="containsText" text="PROHIBITED"/>
    <x:cfRule type="containsText" dxfId="11" priority="2" operator="containsText" text="DEFERR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3" hidden="0" customWidth="1"/>
    <x:col min="3" max="3" width="31" hidden="0" customWidth="1"/>
    <x:col min="4" max="4" width="91" hidden="0" customWidth="1"/>
    <x:col min="5" max="5" width="94" hidden="0" customWidth="1"/>
  </x:cols>
  <x:sheetData>
    <x:row r="1" ht="30" customHeight="1">
      <x:c r="A1" s="3" t="str">
        <x:v>下一阶段闸门</x:v>
      </x:c>
      <x:c r="B1" s="3"/>
      <x:c r="C1" s="3"/>
      <x:c r="D1" s="3"/>
      <x:c r="E1" s="3"/>
    </x:row>
    <x:row r="2" ht="42" customHeight="1">
      <x:c r="A2" s="7" t="str">
        <x:v>Stage 8应执行已有分析模块并形成八家公司研究画像；完成后再测试第九、第十家公司。</x:v>
      </x:c>
      <x:c r="B2" s="7"/>
      <x:c r="C2" s="7"/>
      <x:c r="D2" s="7"/>
      <x:c r="E2" s="7"/>
    </x:row>
    <x:row r="4" ht="36" customHeight="1">
      <x:c r="A4" s="11" t="str">
        <x:v>闸门ID</x:v>
      </x:c>
      <x:c r="B4" s="11" t="str">
        <x:v>事项</x:v>
      </x:c>
      <x:c r="C4" s="11" t="str">
        <x:v>状态</x:v>
      </x:c>
      <x:c r="D4" s="11" t="str">
        <x:v>Stage 7结论</x:v>
      </x:c>
      <x:c r="E4" s="11" t="str">
        <x:v>进入条件/边界</x:v>
      </x:c>
    </x:row>
    <x:row r="5" ht="75" customHeight="1">
      <x:c r="A5" s="19" t="str">
        <x:v>G01</x:v>
      </x:c>
      <x:c r="B5" s="19" t="str">
        <x:v>Stage 7变量—价值映射</x:v>
      </x:c>
      <x:c r="C5" s="19" t="str">
        <x:v>COMPLETED</x:v>
      </x:c>
      <x:c r="D5" s="19" t="str">
        <x:v>32变量全部映射到5个当前分析模块；27条比例进入补充证据层</x:v>
      </x:c>
      <x:c r="E5" s="19" t="str">
        <x:v>进入Stage 8执行八家公司描述性分析</x:v>
      </x:c>
    </x:row>
    <x:row r="6" ht="75" customHeight="1">
      <x:c r="A6" s="20" t="str">
        <x:v>G02</x:v>
      </x:c>
      <x:c r="B6" s="20" t="str">
        <x:v>Stage 8八家公司描述性分析与研究画像</x:v>
      </x:c>
      <x:c r="C6" s="20" t="str">
        <x:v>NEXT_STAGE</x:v>
      </x:c>
      <x:c r="D6" s="20" t="str">
        <x:v>按M01—M05生成全样本表、3对5探索比较、3家公司事件案例</x:v>
      </x:c>
      <x:c r="E6" s="20" t="str">
        <x:v>不选所谓代表性公司，不做显著性或因果推断</x:v>
      </x:c>
    </x:row>
    <x:row r="7" ht="75" customHeight="1">
      <x:c r="A7" s="20" t="str">
        <x:v>G03</x:v>
      </x:c>
      <x:c r="B7" s="20" t="str">
        <x:v>结果变量扩展</x:v>
      </x:c>
      <x:c r="C7" s="20" t="str">
        <x:v>DEFERRED</x:v>
      </x:c>
      <x:c r="D7" s="20" t="str">
        <x:v>IPO抑价、募集规模、审核时间、经营表现尚未加入</x:v>
      </x:c>
      <x:c r="E7" s="20" t="str">
        <x:v>需新增可靠市场/财务数据源</x:v>
      </x:c>
    </x:row>
    <x:row r="8" ht="75" customHeight="1">
      <x:c r="A8" s="21" t="str">
        <x:v>G04</x:v>
      </x:c>
      <x:c r="B8" s="21" t="str">
        <x:v>第九、第十家公司盲测</x:v>
      </x:c>
      <x:c r="C8" s="21" t="str">
        <x:v>AFTER_STAGE8</x:v>
      </x:c>
      <x:c r="D8" s="21" t="str">
        <x:v>用于验证Schema与变量体系边界</x:v>
      </x:c>
      <x:c r="E8" s="21" t="str">
        <x:v>八家公司研究画像和解释模板稳定后启动</x:v>
      </x:c>
    </x:row>
  </x:sheetData>
  <x:mergeCells>
    <x:mergeCell ref="A1:E1"/>
    <x:mergeCell ref="A2:E2"/>
  </x:mergeCells>
  <x:conditionalFormatting sqref="C5:C8">
    <x:cfRule type="containsText" dxfId="12" priority="1" operator="containsText" text="COMPLETED"/>
    <x:cfRule type="containsText" dxfId="13" priority="2" operator="containsText" text="NEXT_STAGE"/>
    <x:cfRule type="containsText" dxfId="14" priority="3" operator="containsText" text="DEFERR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2" hidden="0" customWidth="1"/>
    <x:col min="3" max="3" width="28" hidden="0" customWidth="1"/>
    <x:col min="4" max="4" width="28" hidden="0" customWidth="1"/>
    <x:col min="5" max="5" width="16" hidden="0" customWidth="1"/>
    <x:col min="6" max="6" width="82" hidden="0" customWidth="1"/>
  </x:cols>
  <x:sheetData>
    <x:row r="1" ht="30" customHeight="1">
      <x:c r="A1" s="3" t="str">
        <x:v>Stage 7验收检查</x:v>
      </x:c>
      <x:c r="B1" s="3"/>
      <x:c r="C1" s="3"/>
      <x:c r="D1" s="3"/>
      <x:c r="E1" s="3"/>
      <x:c r="F1" s="3"/>
    </x:row>
    <x:row r="2" ht="42" customHeight="1">
      <x:c r="A2" s="7" t="str">
        <x:v>18项检查覆盖八家公司、32变量、256记录、27比例测量、问题矩阵、价值清单和冻结输入只读。</x:v>
      </x:c>
      <x:c r="B2" s="7"/>
      <x:c r="C2" s="7"/>
      <x:c r="D2" s="7"/>
      <x:c r="E2" s="7"/>
      <x:c r="F2" s="7"/>
    </x:row>
    <x:row r="4" ht="36" customHeight="1">
      <x:c r="A4" s="11" t="str">
        <x:v>检查ID</x:v>
      </x:c>
      <x:c r="B4" s="11" t="str">
        <x:v>检查项目</x:v>
      </x:c>
      <x:c r="C4" s="11" t="str">
        <x:v>实际值</x:v>
      </x:c>
      <x:c r="D4" s="11" t="str">
        <x:v>预期值</x:v>
      </x:c>
      <x:c r="E4" s="11" t="str">
        <x:v>状态</x:v>
      </x:c>
      <x:c r="F4" s="11" t="str">
        <x:v>依据</x:v>
      </x:c>
    </x:row>
    <x:row r="5" ht="46" customHeight="1">
      <x:c r="A5" s="19" t="str">
        <x:v>C01</x:v>
      </x:c>
      <x:c r="B5" s="19" t="str">
        <x:v>公司样本</x:v>
      </x:c>
      <x:c r="C5" s="19" t="n">
        <x:v>8</x:v>
      </x:c>
      <x:c r="D5" s="19" t="n">
        <x:v>8</x:v>
      </x:c>
      <x:c r="E5" s="19" t="str">
        <x:v>PASS</x:v>
      </x:c>
      <x:c r="F5" s="19" t="str">
        <x:v>Week 8公司主表</x:v>
      </x:c>
    </x:row>
    <x:row r="6" ht="46" customHeight="1">
      <x:c r="A6" s="20" t="str">
        <x:v>C02</x:v>
      </x:c>
      <x:c r="B6" s="20" t="str">
        <x:v>Week 9变量</x:v>
      </x:c>
      <x:c r="C6" s="20" t="n">
        <x:v>32</x:v>
      </x:c>
      <x:c r="D6" s="20" t="n">
        <x:v>32</x:v>
      </x:c>
      <x:c r="E6" s="20" t="str">
        <x:v>PASS</x:v>
      </x:c>
      <x:c r="F6" s="20" t="str">
        <x:v>variable_summary</x:v>
      </x:c>
    </x:row>
    <x:row r="7" ht="46" customHeight="1">
      <x:c r="A7" s="20" t="str">
        <x:v>C03</x:v>
      </x:c>
      <x:c r="B7" s="20" t="str">
        <x:v>公司—变量记录</x:v>
      </x:c>
      <x:c r="C7" s="20" t="n">
        <x:v>256</x:v>
      </x:c>
      <x:c r="D7" s="20" t="n">
        <x:v>256</x:v>
      </x:c>
      <x:c r="E7" s="20" t="str">
        <x:v>PASS</x:v>
      </x:c>
      <x:c r="F7" s="20" t="str">
        <x:v>8×32</x:v>
      </x:c>
    </x:row>
    <x:row r="8" ht="46" customHeight="1">
      <x:c r="A8" s="20" t="str">
        <x:v>C04</x:v>
      </x:c>
      <x:c r="B8" s="20" t="str">
        <x:v>Stage 6唯一比例测量</x:v>
      </x:c>
      <x:c r="C8" s="20" t="n">
        <x:v>27</x:v>
      </x:c>
      <x:c r="D8" s="20" t="n">
        <x:v>27</x:v>
      </x:c>
      <x:c r="E8" s="20" t="str">
        <x:v>PASS</x:v>
      </x:c>
      <x:c r="F8" s="20" t="str">
        <x:v>27条唯一测量表</x:v>
      </x:c>
    </x:row>
    <x:row r="9" ht="46" customHeight="1">
      <x:c r="A9" s="20" t="str">
        <x:v>C05</x:v>
      </x:c>
      <x:c r="B9" s="20" t="str">
        <x:v>确认PE/VC比例测量</x:v>
      </x:c>
      <x:c r="C9" s="20" t="n">
        <x:v>16</x:v>
      </x:c>
      <x:c r="D9" s="20" t="n">
        <x:v>16</x:v>
      </x:c>
      <x:c r="E9" s="20" t="str">
        <x:v>PASS</x:v>
      </x:c>
      <x:c r="F9" s="20" t="str">
        <x:v>Stage 6状态过滤</x:v>
      </x:c>
    </x:row>
    <x:row r="10" ht="46" customHeight="1">
      <x:c r="A10" s="20" t="str">
        <x:v>C06</x:v>
      </x:c>
      <x:c r="B10" s="20" t="str">
        <x:v>事件比例记录</x:v>
      </x:c>
      <x:c r="C10" s="20" t="n">
        <x:v>6</x:v>
      </x:c>
      <x:c r="D10" s="20" t="n">
        <x:v>6</x:v>
      </x:c>
      <x:c r="E10" s="20" t="str">
        <x:v>PASS</x:v>
      </x:c>
      <x:c r="F10" s="20" t="str">
        <x:v>公司事件PEVC合计</x:v>
      </x:c>
    </x:row>
    <x:row r="11" ht="46" customHeight="1">
      <x:c r="A11" s="20" t="str">
        <x:v>C07</x:v>
      </x:c>
      <x:c r="B11" s="20" t="str">
        <x:v>正式停止项</x:v>
      </x:c>
      <x:c r="C11" s="20" t="n">
        <x:v>5</x:v>
      </x:c>
      <x:c r="D11" s="20" t="n">
        <x:v>5</x:v>
      </x:c>
      <x:c r="E11" s="20" t="str">
        <x:v>PASS</x:v>
      </x:c>
      <x:c r="F11" s="20" t="str">
        <x:v>Stage 6停止表</x:v>
      </x:c>
    </x:row>
    <x:row r="12" ht="46" customHeight="1">
      <x:c r="A12" s="20" t="str">
        <x:v>C08</x:v>
      </x:c>
      <x:c r="B12" s="20" t="str">
        <x:v>全八家公司变量</x:v>
      </x:c>
      <x:c r="C12" s="20" t="n">
        <x:v>14</x:v>
      </x:c>
      <x:c r="D12" s="20" t="n">
        <x:v>14</x:v>
      </x:c>
      <x:c r="E12" s="20" t="str">
        <x:v>PASS</x:v>
      </x:c>
      <x:c r="F12" s="20" t="str">
        <x:v>valid_n=8</x:v>
      </x:c>
    </x:row>
    <x:row r="13" ht="46" customHeight="1">
      <x:c r="A13" s="20" t="str">
        <x:v>C09</x:v>
      </x:c>
      <x:c r="B13" s="20" t="str">
        <x:v>5—7家公司变量</x:v>
      </x:c>
      <x:c r="C13" s="20" t="n">
        <x:v>13</x:v>
      </x:c>
      <x:c r="D13" s="20" t="n">
        <x:v>13</x:v>
      </x:c>
      <x:c r="E13" s="20" t="str">
        <x:v>PASS</x:v>
      </x:c>
      <x:c r="F13" s="20" t="str">
        <x:v>valid_n 5—7</x:v>
      </x:c>
    </x:row>
    <x:row r="14" ht="46" customHeight="1">
      <x:c r="A14" s="20" t="str">
        <x:v>C10</x:v>
      </x:c>
      <x:c r="B14" s="20" t="str">
        <x:v>3—4家公司变量</x:v>
      </x:c>
      <x:c r="C14" s="20" t="n">
        <x:v>5</x:v>
      </x:c>
      <x:c r="D14" s="20" t="n">
        <x:v>5</x:v>
      </x:c>
      <x:c r="E14" s="20" t="str">
        <x:v>PASS</x:v>
      </x:c>
      <x:c r="F14" s="20" t="str">
        <x:v>valid_n 3—4</x:v>
      </x:c>
    </x:row>
    <x:row r="15" ht="46" customHeight="1">
      <x:c r="A15" s="20" t="str">
        <x:v>C11</x:v>
      </x:c>
      <x:c r="B15" s="20" t="str">
        <x:v>仅案例变量</x:v>
      </x:c>
      <x:c r="C15" s="20" t="n">
        <x:v>4</x:v>
      </x:c>
      <x:c r="D15" s="20" t="n">
        <x:v>4</x:v>
      </x:c>
      <x:c r="E15" s="20" t="str">
        <x:v>PASS</x:v>
      </x:c>
      <x:c r="F15" s="20" t="str">
        <x:v>Week 9冻结建议</x:v>
      </x:c>
    </x:row>
    <x:row r="16" ht="46" customHeight="1">
      <x:c r="A16" s="20" t="str">
        <x:v>C12</x:v>
      </x:c>
      <x:c r="B16" s="20" t="str">
        <x:v>暂缓变量</x:v>
      </x:c>
      <x:c r="C16" s="20" t="n">
        <x:v>1</x:v>
      </x:c>
      <x:c r="D16" s="20" t="n">
        <x:v>1</x:v>
      </x:c>
      <x:c r="E16" s="20" t="str">
        <x:v>PASS</x:v>
      </x:c>
      <x:c r="F16" s="20" t="str">
        <x:v>CV023</x:v>
      </x:c>
    </x:row>
    <x:row r="17" ht="46" customHeight="1">
      <x:c r="A17" s="20" t="str">
        <x:v>C13</x:v>
      </x:c>
      <x:c r="B17" s="20" t="str">
        <x:v>研究问题</x:v>
      </x:c>
      <x:c r="C17" s="20" t="n">
        <x:v>12</x:v>
      </x:c>
      <x:c r="D17" s="20" t="n">
        <x:v>12</x:v>
      </x:c>
      <x:c r="E17" s="20" t="str">
        <x:v>PASS</x:v>
      </x:c>
      <x:c r="F17" s="20" t="str">
        <x:v>6学术+6商业</x:v>
      </x:c>
    </x:row>
    <x:row r="18" ht="46" customHeight="1">
      <x:c r="A18" s="20" t="str">
        <x:v>C14</x:v>
      </x:c>
      <x:c r="B18" s="20" t="str">
        <x:v>分析模块</x:v>
      </x:c>
      <x:c r="C18" s="20" t="n">
        <x:v>6</x:v>
      </x:c>
      <x:c r="D18" s="20" t="n">
        <x:v>6</x:v>
      </x:c>
      <x:c r="E18" s="20" t="str">
        <x:v>PASS</x:v>
      </x:c>
      <x:c r="F18" s="20" t="str">
        <x:v>5当前+1扩展</x:v>
      </x:c>
    </x:row>
    <x:row r="19" ht="46" customHeight="1">
      <x:c r="A19" s="20" t="str">
        <x:v>C15</x:v>
      </x:c>
      <x:c r="B19" s="20" t="str">
        <x:v>学术价值项</x:v>
      </x:c>
      <x:c r="C19" s="20" t="n">
        <x:v>5</x:v>
      </x:c>
      <x:c r="D19" s="20" t="n">
        <x:v>5</x:v>
      </x:c>
      <x:c r="E19" s="20" t="str">
        <x:v>PASS</x:v>
      </x:c>
      <x:c r="F19" s="20" t="str">
        <x:v>价值清单</x:v>
      </x:c>
    </x:row>
    <x:row r="20" ht="46" customHeight="1">
      <x:c r="A20" s="20" t="str">
        <x:v>C16</x:v>
      </x:c>
      <x:c r="B20" s="20" t="str">
        <x:v>商业价值项</x:v>
      </x:c>
      <x:c r="C20" s="20" t="n">
        <x:v>6</x:v>
      </x:c>
      <x:c r="D20" s="20" t="n">
        <x:v>6</x:v>
      </x:c>
      <x:c r="E20" s="20" t="str">
        <x:v>PASS</x:v>
      </x:c>
      <x:c r="F20" s="20" t="str">
        <x:v>价值清单</x:v>
      </x:c>
    </x:row>
    <x:row r="21" ht="46" customHeight="1">
      <x:c r="A21" s="20" t="str">
        <x:v>C17</x:v>
      </x:c>
      <x:c r="B21" s="20" t="str">
        <x:v>禁止/暂缓分析</x:v>
      </x:c>
      <x:c r="C21" s="20" t="n">
        <x:v>6</x:v>
      </x:c>
      <x:c r="D21" s="20" t="n">
        <x:v>6</x:v>
      </x:c>
      <x:c r="E21" s="20" t="str">
        <x:v>PASS</x:v>
      </x:c>
      <x:c r="F21" s="20" t="str">
        <x:v>解释边界</x:v>
      </x:c>
    </x:row>
    <x:row r="22" ht="46" customHeight="1">
      <x:c r="A22" s="21" t="str">
        <x:v>C18</x:v>
      </x:c>
      <x:c r="B22" s="21" t="str">
        <x:v>冻结输入只读</x:v>
      </x:c>
      <x:c r="C22" s="55" t="b">
        <x:v>1</x:v>
      </x:c>
      <x:c r="D22" s="55" t="b">
        <x:v>1</x:v>
      </x:c>
      <x:c r="E22" s="21" t="str">
        <x:v>PASS</x:v>
      </x:c>
      <x:c r="F22" s="21" t="str">
        <x:v>输出前后SHA-256复核</x:v>
      </x:c>
    </x:row>
  </x:sheetData>
  <x:mergeCells>
    <x:mergeCell ref="A1:F1"/>
    <x:mergeCell ref="A2:F2"/>
  </x:mergeCells>
  <x:conditionalFormatting sqref="E5:E22">
    <x:cfRule type="containsText" dxfId="15" priority="1" operator="containsText" text="PASS"/>
    <x:cfRule type="containsText" dxfId="16" priority="2" operator="containsText" text="FAIL"/>
  </x:conditionalFormatting>
  <x:pageMargins left="0.7" right="0.7" top="0.75" bottom="0.75" header="0.3" footer="0.3"/>
</x:worksheet>
</file>