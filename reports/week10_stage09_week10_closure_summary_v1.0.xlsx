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55cdb5074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项说明" sheetId="1" r:id="R40bbfbaa493d4917"/>
    <x:sheet xmlns:r="http://schemas.openxmlformats.org/officeDocument/2006/relationships" name="Stage1-8成果总览" sheetId="2" r:id="R2974752dfe3341e5"/>
    <x:sheet xmlns:r="http://schemas.openxmlformats.org/officeDocument/2006/relationships" name="八公司最终画像" sheetId="3" r:id="R6c9615e18d3e4ff6"/>
    <x:sheet xmlns:r="http://schemas.openxmlformats.org/officeDocument/2006/relationships" name="关键研究发现" sheetId="4" r:id="R7011b04ba09e41fa"/>
    <x:sheet xmlns:r="http://schemas.openxmlformats.org/officeDocument/2006/relationships" name="学术价值" sheetId="5" r:id="R6a2003db059949c7"/>
    <x:sheet xmlns:r="http://schemas.openxmlformats.org/officeDocument/2006/relationships" name="商业价值" sheetId="6" r:id="R78ab6e5052904ffb"/>
    <x:sheet xmlns:r="http://schemas.openxmlformats.org/officeDocument/2006/relationships" name="停止与延期事项" sheetId="7" r:id="R18203d8405944b0a"/>
    <x:sheet xmlns:r="http://schemas.openxmlformats.org/officeDocument/2006/relationships" name="解释边界" sheetId="8" r:id="Rf55d835add1042f4"/>
    <x:sheet xmlns:r="http://schemas.openxmlformats.org/officeDocument/2006/relationships" name="GitHub提交结构" sheetId="9" r:id="R558ab90c6c66423c"/>
    <x:sheet xmlns:r="http://schemas.openxmlformats.org/officeDocument/2006/relationships" name="验收检查" sheetId="10" r:id="R941e73687caa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"/>
    <x:numFmt numFmtId="201" formatCode="#,##0.00"/>
    <x:numFmt numFmtId="202" formatCode="0.0%"/>
  </x:numFmts>
  <x:fonts count="6">
    <x:font>
      <x:sz val="11"/>
      <x:name val="Carlito"/>
    </x:font>
    <x:font>
      <x:b/>
      <x:sz val="11"/>
      <x:color rgb="FFFFFFFF"/>
      <x:name val="SimSun"/>
    </x:font>
    <x:font>
      <x:i/>
      <x:sz val="11"/>
      <x:color rgb="FF4B5563"/>
      <x:name val="SimSun"/>
    </x:font>
    <x:font>
      <x:sz val="11"/>
      <x:color rgb="FF111827"/>
      <x:name val="SimSun"/>
    </x:font>
    <x:font>
      <x:b/>
      <x:sz val="11"/>
      <x:color rgb="FF9C5700"/>
      <x:name val="SimSun"/>
    </x:font>
    <x:font>
      <x:sz val="11"/>
      <x:color rgb="FF008000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47D75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2" fontId="5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2"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4B5563"/>
      </x:font>
      <x:fill>
        <x:patternFill patternType="solid">
          <x:bgColor rgb="FFF3F4F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E7D32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0f8d02b9b44d1" /><Relationship Type="http://schemas.openxmlformats.org/officeDocument/2006/relationships/theme" Target="/xl/theme/theme1.xml" Id="R0e1c8bff3ce74393" /><Relationship Type="http://schemas.microsoft.com/office/2022/11/relationships/FeaturePropertyBag" Target="/xl/featurePropertyBag/featurePropertyBag.xml" Id="R28c83096dce44bc5" /><Relationship Type="http://schemas.openxmlformats.org/officeDocument/2006/relationships/sharedStrings" Target="/xl/sharedStrings.xml" Id="Rfff8396cf2ca48cd" /><Relationship Type="http://schemas.openxmlformats.org/officeDocument/2006/relationships/worksheet" Target="/xl/worksheets/sheet1.xml" Id="R40bbfbaa493d4917" /><Relationship Type="http://schemas.openxmlformats.org/officeDocument/2006/relationships/worksheet" Target="/xl/worksheets/sheet2.xml" Id="R2974752dfe3341e5" /><Relationship Type="http://schemas.openxmlformats.org/officeDocument/2006/relationships/worksheet" Target="/xl/worksheets/sheet3.xml" Id="R6c9615e18d3e4ff6" /><Relationship Type="http://schemas.openxmlformats.org/officeDocument/2006/relationships/worksheet" Target="/xl/worksheets/sheet4.xml" Id="R7011b04ba09e41fa" /><Relationship Type="http://schemas.openxmlformats.org/officeDocument/2006/relationships/worksheet" Target="/xl/worksheets/sheet5.xml" Id="R6a2003db059949c7" /><Relationship Type="http://schemas.openxmlformats.org/officeDocument/2006/relationships/worksheet" Target="/xl/worksheets/sheet6.xml" Id="R78ab6e5052904ffb" /><Relationship Type="http://schemas.openxmlformats.org/officeDocument/2006/relationships/worksheet" Target="/xl/worksheets/sheet7.xml" Id="R18203d8405944b0a" /><Relationship Type="http://schemas.openxmlformats.org/officeDocument/2006/relationships/worksheet" Target="/xl/worksheets/sheet8.xml" Id="Rf55d835add1042f4" /><Relationship Type="http://schemas.openxmlformats.org/officeDocument/2006/relationships/worksheet" Target="/xl/worksheets/sheet9.xml" Id="R558ab90c6c66423c" /><Relationship Type="http://schemas.openxmlformats.org/officeDocument/2006/relationships/worksheet" Target="/xl/worksheets/sheet10.xml" Id="R941e73687caa48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26" hidden="0" customWidth="1"/>
    <x:col min="4" max="4" width="28" hidden="0" customWidth="1"/>
    <x:col min="5" max="5" width="27" hidden="0" customWidth="1"/>
    <x:col min="6" max="6" width="28" hidden="0" customWidth="1"/>
    <x:col min="7" max="7" width="23" hidden="0" customWidth="1"/>
    <x:col min="8" max="8" width="76" hidden="0" customWidth="1"/>
  </x:cols>
  <x:sheetData>
    <x:row r="1" ht="30" customHeight="1">
      <x:c r="A1" s="3" t="str">
        <x:v>Week 10 · 八家公司成果整合与结项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本周在八家公司范围内结项；第九家公司扩展性测试顺延。Week 8、Week 9及Stage 1—8冻结成果均保持只读。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1" t="str">
        <x:v>指标</x:v>
      </x:c>
      <x:c r="B4" s="11" t="str">
        <x:v>值</x:v>
      </x:c>
      <x:c r="C4" s="11" t="str">
        <x:v>指标</x:v>
      </x:c>
      <x:c r="D4" s="11" t="str">
        <x:v>值</x:v>
      </x:c>
      <x:c r="E4" s="11" t="str">
        <x:v>指标</x:v>
      </x:c>
      <x:c r="F4" s="11" t="str">
        <x:v>值</x:v>
      </x:c>
      <x:c r="G4" s="11" t="str">
        <x:v>指标</x:v>
      </x:c>
      <x:c r="H4" s="11" t="str">
        <x:v>值</x:v>
      </x:c>
    </x:row>
    <x:row r="5" ht="48" customHeight="1">
      <x:c r="A5" s="19" t="str">
        <x:v>公司数</x:v>
      </x:c>
      <x:c r="B5" s="19" t="n">
        <x:f>COUNTA('八公司最终画像'!A5:A12)</x:f>
        <x:v>8</x:v>
      </x:c>
      <x:c r="C5" s="19" t="str">
        <x:v>确认PE/VC公司</x:v>
      </x:c>
      <x:c r="D5" s="19" t="n">
        <x:f>COUNTIF('八公司最终画像'!G5:G12,1)</x:f>
        <x:v>3</x:v>
      </x:c>
      <x:c r="E5" s="19" t="str">
        <x:v>融资金额有效公司</x:v>
      </x:c>
      <x:c r="F5" s="19" t="n">
        <x:f>COUNTIF('八公司最终画像'!F5:F12,"VALID")</x:f>
        <x:v>7</x:v>
      </x:c>
      <x:c r="G5" s="19" t="str">
        <x:v>唯一持股比例</x:v>
      </x:c>
      <x:c r="H5" s="19" t="n">
        <x:f>SUM('八公司最终画像'!P5:P12)</x:f>
        <x:v>27</x:v>
      </x:c>
    </x:row>
    <x:row r="6" ht="48" customHeight="1">
      <x:c r="A6" s="20" t="str">
        <x:v>Stage数量</x:v>
      </x:c>
      <x:c r="B6" s="20" t="n">
        <x:f>COUNTA('Stage1-8成果总览'!A5:A12)</x:f>
        <x:v>8</x:v>
      </x:c>
      <x:c r="C6" s="20" t="str">
        <x:v>完整PE/VC事件</x:v>
      </x:c>
      <x:c r="D6" s="20" t="n">
        <x:f>SUM('八公司最终画像'!R5:R12)</x:f>
        <x:v>5</x:v>
      </x:c>
      <x:c r="E6" s="20" t="str">
        <x:v>正式停止项</x:v>
      </x:c>
      <x:c r="F6" s="20" t="n">
        <x:f>5</x:f>
        <x:v>5</x:v>
      </x:c>
      <x:c r="G6" s="20" t="str">
        <x:v>验收状态</x:v>
      </x:c>
      <x:c r="H6" s="20" t="str">
        <x:v>见验收检查</x:v>
      </x:c>
    </x:row>
    <x:row r="7" ht="48" customHeight="1">
      <x:c r="A7" s="21" t="str">
        <x:v>核心结论</x:v>
      </x:c>
      <x:c r="B7" s="21" t="str">
        <x:v>八家公司数据和变量已完成内部覆盖、证据增强和价值开发</x:v>
      </x:c>
      <x:c r="C7" s="21" t="str">
        <x:v>本周范围</x:v>
      </x:c>
      <x:c r="D7" s="21" t="str">
        <x:v>不引入第九家公司</x:v>
      </x:c>
      <x:c r="E7" s="21" t="str">
        <x:v>冻结状态</x:v>
      </x:c>
      <x:c r="F7" s="21" t="str">
        <x:v>全部只读</x:v>
      </x:c>
      <x:c r="G7" s="21" t="str">
        <x:v>后续</x:v>
      </x:c>
      <x:c r="H7" s="21" t="str">
        <x:v>扩展性验证顺延</x:v>
      </x:c>
    </x:row>
    <x:row r="9" ht="44" customHeight="1">
      <x:c r="A9" s="25" t="str">
        <x:v>结项判断：八家公司已经形成统一的公司层、交易层和证据层研究体系，可用于样本内融资画像、PE/VC路径案例、一级融资与老股转让区分、披露缺失方法研究和商业尽调底稿。现阶段不能进行总体代表性、统计显著性或因果推断，也不能声称已通过新增公司验证。</x:v>
      </x:c>
      <x:c r="B9" s="25"/>
      <x:c r="C9" s="25"/>
      <x:c r="D9" s="25"/>
      <x:c r="E9" s="25"/>
      <x:c r="F9" s="25"/>
      <x:c r="G9" s="25"/>
      <x:c r="H9" s="25"/>
    </x:row>
    <x:row r="10" ht="44" customHeight="1">
      <x:c r="A10" s="25"/>
      <x:c r="B10" s="25"/>
      <x:c r="C10" s="25"/>
      <x:c r="D10" s="25"/>
      <x:c r="E10" s="25"/>
      <x:c r="F10" s="25"/>
      <x:c r="G10" s="25"/>
      <x:c r="H10" s="25"/>
    </x:row>
    <x:row r="11" ht="44" customHeight="1">
      <x:c r="A11" s="25"/>
      <x:c r="B11" s="25"/>
      <x:c r="C11" s="25"/>
      <x:c r="D11" s="25"/>
      <x:c r="E11" s="25"/>
      <x:c r="F11" s="25"/>
      <x:c r="G11" s="25"/>
      <x:c r="H11" s="25"/>
    </x:row>
  </x:sheetData>
  <x:mergeCells>
    <x:mergeCell ref="A1:H1"/>
    <x:mergeCell ref="A2:H2"/>
    <x:mergeCell ref="A9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7" hidden="0" customWidth="1"/>
    <x:col min="3" max="3" width="20" hidden="0" customWidth="1"/>
    <x:col min="4" max="4" width="45" hidden="0" customWidth="1"/>
    <x:col min="5" max="5" width="79" hidden="0" customWidth="1"/>
    <x:col min="6" max="6" width="18" hidden="0" customWidth="1"/>
    <x:col min="7" max="7" width="30" hidden="0" customWidth="1"/>
    <x:col min="8" max="8" width="68" hidden="0" customWidth="1"/>
  </x:cols>
  <x:sheetData>
    <x:row r="1" ht="30" customHeight="1">
      <x:c r="A1" s="3" t="str">
        <x:v>Stage 1—8 成果总览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每一阶段都只在新研究层增量处理；历史冻结版本没有被覆盖。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1" t="str">
        <x:v>Stage</x:v>
      </x:c>
      <x:c r="B4" s="11" t="str">
        <x:v>阶段名称</x:v>
      </x:c>
      <x:c r="C4" s="11" t="str">
        <x:v>性质</x:v>
      </x:c>
      <x:c r="D4" s="11" t="str">
        <x:v>覆盖范围</x:v>
      </x:c>
      <x:c r="E4" s="11" t="str">
        <x:v>主要增量</x:v>
      </x:c>
      <x:c r="F4" s="11" t="str">
        <x:v>验收</x:v>
      </x:c>
      <x:c r="G4" s="11" t="str">
        <x:v>状态</x:v>
      </x:c>
      <x:c r="H4" s="11" t="str">
        <x:v>边界</x:v>
      </x:c>
    </x:row>
    <x:row r="5" ht="66" customHeight="1">
      <x:c r="A5" s="19" t="n">
        <x:v>1</x:v>
      </x:c>
      <x:c r="B5" s="19" t="str">
        <x:v>八家公司数据覆盖与优化诊断</x:v>
      </x:c>
      <x:c r="C5" s="19" t="str">
        <x:v>诊断</x:v>
      </x:c>
      <x:c r="D5" s="19" t="str">
        <x:v>8家公司×9张标准表；32变量</x:v>
      </x:c>
      <x:c r="E5" s="19" t="str">
        <x:v>识别16项缺口和16项优化任务</x:v>
      </x:c>
      <x:c r="F5" s="19" t="str">
        <x:v>20项PASS</x:v>
      </x:c>
      <x:c r="G5" s="19" t="str">
        <x:v>COMPLETED</x:v>
      </x:c>
      <x:c r="H5" s="19" t="str">
        <x:v>未修改Week 8/Week 9</x:v>
      </x:c>
    </x:row>
    <x:row r="6" ht="66" customHeight="1">
      <x:c r="A6" s="20" t="n">
        <x:v>2</x:v>
      </x:c>
      <x:c r="B6" s="20" t="str">
        <x:v>研究层元数据增强</x:v>
      </x:c>
      <x:c r="C6" s="20" t="str">
        <x:v>规则增强</x:v>
      </x:c>
      <x:c r="D6" s="20" t="str">
        <x:v>72条主体、69条路径、18轮融资</x:v>
      </x:c>
      <x:c r="E6" s="20" t="str">
        <x:v>补充主体状态、证据等级、日期精度和变量用途</x:v>
      </x:c>
      <x:c r="F6" s="20" t="str">
        <x:v>25项PASS</x:v>
      </x:c>
      <x:c r="G6" s="20" t="str">
        <x:v>COMPLETED</x:v>
      </x:c>
      <x:c r="H6" s="20" t="str">
        <x:v>冻结层只读</x:v>
      </x:c>
    </x:row>
    <x:row r="7" ht="66" customHeight="1">
      <x:c r="A7" s="20" t="n">
        <x:v>3</x:v>
      </x:c>
      <x:c r="B7" s="20" t="str">
        <x:v>匿名交易主体证据修复</x:v>
      </x:c>
      <x:c r="C7" s="20" t="str">
        <x:v>证据修复</x:v>
      </x:c>
      <x:c r="D7" s="20" t="str">
        <x:v>13个匿名ID、24条party记录</x:v>
      </x:c>
      <x:c r="E7" s="20" t="str">
        <x:v>形成51条原文参与者名册；2家公司为变量修订候选</x:v>
      </x:c>
      <x:c r="F7" s="20" t="str">
        <x:v>26项PASS</x:v>
      </x:c>
      <x:c r="G7" s="20" t="str">
        <x:v>COMPLETED_WITH_LIMIT</x:v>
      </x:c>
      <x:c r="H7" s="20" t="str">
        <x:v>匿名ID不等于真实投资者</x:v>
      </x:c>
    </x:row>
    <x:row r="8" ht="66" customHeight="1">
      <x:c r="A8" s="20" t="n">
        <x:v>4</x:v>
      </x:c>
      <x:c r="B8" s="20" t="str">
        <x:v>交易时点持股比例审计</x:v>
      </x:c>
      <x:c r="C8" s="20" t="str">
        <x:v>比例审计</x:v>
      </x:c>
      <x:c r="D8" s="20" t="str">
        <x:v>69条路径</x:v>
      </x:c>
      <x:c r="E8" s="20" t="str">
        <x:v>9条路径有比例；6条唯一测量；4条确认PE/VC测量</x:v>
      </x:c>
      <x:c r="F8" s="20" t="str">
        <x:v>20项PASS</x:v>
      </x:c>
      <x:c r="G8" s="20" t="str">
        <x:v>COMPLETED_WITH_GAP</x:v>
      </x:c>
      <x:c r="H8" s="20" t="str">
        <x:v>不得用最终持股比例倒推历史</x:v>
      </x:c>
    </x:row>
    <x:row r="9" ht="66" customHeight="1">
      <x:c r="A9" s="20" t="n">
        <x:v>5</x:v>
      </x:c>
      <x:c r="B9" s="20" t="str">
        <x:v>招股书原文定点补证</x:v>
      </x:c>
      <x:c r="C9" s="20" t="str">
        <x:v>原文补证</x:v>
      </x:c>
      <x:c r="D9" s="20" t="str">
        <x:v>云汉、友升、三协定点核查</x:v>
      </x:c>
      <x:c r="E9" s="20" t="str">
        <x:v>比例路径升至27/69；18条唯一测量</x:v>
      </x:c>
      <x:c r="F9" s="20" t="str">
        <x:v>16项PASS</x:v>
      </x:c>
      <x:c r="G9" s="20" t="str">
        <x:v>COMPLETED_WITH_GAP</x:v>
      </x:c>
      <x:c r="H9" s="20" t="str">
        <x:v>三协拆分仍缺失</x:v>
      </x:c>
    </x:row>
    <x:row r="10" ht="66" customHeight="1">
      <x:c r="A10" s="20" t="n">
        <x:v>6</x:v>
      </x:c>
      <x:c r="B10" s="20" t="str">
        <x:v>原始披露恢复与停止决策</x:v>
      </x:c>
      <x:c r="C10" s="20" t="str">
        <x:v>闭环与停止</x:v>
      </x:c>
      <x:c r="D10" s="20" t="str">
        <x:v>三协2022、云汉2014—2015</x:v>
      </x:c>
      <x:c r="E10" s="20" t="str">
        <x:v>比例路径升至41/69；27条测量；5项正式停止</x:v>
      </x:c>
      <x:c r="F10" s="20" t="str">
        <x:v>16项PASS</x:v>
      </x:c>
      <x:c r="G10" s="20" t="str">
        <x:v>COMPLETED</x:v>
      </x:c>
      <x:c r="H10" s="20" t="str">
        <x:v>19条路径保留不可计算</x:v>
      </x:c>
    </x:row>
    <x:row r="11" ht="66" customHeight="1">
      <x:c r="A11" s="20" t="n">
        <x:v>7</x:v>
      </x:c>
      <x:c r="B11" s="20" t="str">
        <x:v>变量利用与学术商业价值矩阵</x:v>
      </x:c>
      <x:c r="C11" s="20" t="str">
        <x:v>价值开发</x:v>
      </x:c>
      <x:c r="D11" s="20" t="str">
        <x:v>32变量、256公司—变量记录</x:v>
      </x:c>
      <x:c r="E11" s="20" t="str">
        <x:v>形成12个问题、6个分析模块、5项学术和6项商业价值</x:v>
      </x:c>
      <x:c r="F11" s="20" t="str">
        <x:v>18项PASS</x:v>
      </x:c>
      <x:c r="G11" s="20" t="str">
        <x:v>COMPLETED</x:v>
      </x:c>
      <x:c r="H11" s="20" t="str">
        <x:v>不进行统计推断</x:v>
      </x:c>
    </x:row>
    <x:row r="12" ht="66" customHeight="1">
      <x:c r="A12" s="21" t="n">
        <x:v>8</x:v>
      </x:c>
      <x:c r="B12" s="21" t="str">
        <x:v>八家公司描述分析与研究画像</x:v>
      </x:c>
      <x:c r="C12" s="21" t="str">
        <x:v>描述分析</x:v>
      </x:c>
      <x:c r="D12" s="21" t="str">
        <x:v>8家公司；3家确认PE/VC</x:v>
      </x:c>
      <x:c r="E12" s="21" t="str">
        <x:v>完成全样本画像、分组比较、敏感性与交易案例</x:v>
      </x:c>
      <x:c r="F12" s="21" t="str">
        <x:v>18项PASS</x:v>
      </x:c>
      <x:c r="G12" s="21" t="str">
        <x:v>COMPLETED</x:v>
      </x:c>
      <x:c r="H12" s="21" t="str">
        <x:v>云汉个案显著影响组均值</x:v>
      </x:c>
    </x:row>
  </x:sheetData>
  <x:mergeCells>
    <x:mergeCell ref="A1:H1"/>
    <x:mergeCell ref="A2:H2"/>
  </x:mergeCells>
  <x:conditionalFormatting sqref="G5:G12">
    <x:cfRule type="containsText" dxfId="0" priority="1" operator="containsText" text="COMPLE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16" hidden="0" customWidth="1"/>
    <x:col min="5" max="5" width="23" hidden="0" customWidth="1"/>
    <x:col min="6" max="6" width="24" hidden="0" customWidth="1"/>
    <x:col min="7" max="7" width="18" hidden="0" customWidth="1"/>
    <x:col min="8" max="8" width="21" hidden="0" customWidth="1"/>
    <x:col min="9" max="9" width="21" hidden="0" customWidth="1"/>
    <x:col min="10" max="10" width="21" hidden="0" customWidth="1"/>
    <x:col min="11" max="11" width="18" hidden="0" customWidth="1"/>
    <x:col min="12" max="12" width="19" hidden="0" customWidth="1"/>
    <x:col min="13" max="13" width="21" hidden="0" customWidth="1"/>
    <x:col min="14" max="14" width="19" hidden="0" customWidth="1"/>
    <x:col min="15" max="15" width="19" hidden="0" customWidth="1"/>
    <x:col min="16" max="16" width="18" hidden="0" customWidth="1"/>
    <x:col min="17" max="17" width="21" hidden="0" customWidth="1"/>
    <x:col min="18" max="18" width="18" hidden="0" customWidth="1"/>
    <x:col min="19" max="19" width="18" hidden="0" customWidth="1"/>
    <x:col min="20" max="20" width="105" hidden="0" customWidth="1"/>
  </x:cols>
  <x:sheetData>
    <x:row r="1" ht="30" customHeight="1">
      <x:c r="A1" s="3" t="str">
        <x:v>八家公司最终研究画像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44" customHeight="1">
      <x:c r="A2" s="7" t="str">
        <x:v>承接Stage 8核心画像；绿色数据来自冻结变量和已验收补证层。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8" customHeight="1">
      <x:c r="A4" s="11" t="str">
        <x:v>公司ID</x:v>
      </x:c>
      <x:c r="B4" s="11" t="str">
        <x:v>公司名称</x:v>
      </x:c>
      <x:c r="C4" s="11" t="str">
        <x:v>有融资</x:v>
      </x:c>
      <x:c r="D4" s="11" t="str">
        <x:v>融资轮数</x:v>
      </x:c>
      <x:c r="E4" s="11" t="str">
        <x:v>金额下限(万元)</x:v>
      </x:c>
      <x:c r="F4" s="11" t="str">
        <x:v>金额状态</x:v>
      </x:c>
      <x:c r="G4" s="11" t="str">
        <x:v>确认PE/VC</x:v>
      </x:c>
      <x:c r="H4" s="11" t="str">
        <x:v>PE/VC主体数</x:v>
      </x:c>
      <x:c r="I4" s="11" t="str">
        <x:v>PE/VC融资轮数</x:v>
      </x:c>
      <x:c r="J4" s="11" t="str">
        <x:v>首次进入日期</x:v>
      </x:c>
      <x:c r="K4" s="11" t="str">
        <x:v>进入方式数</x:v>
      </x:c>
      <x:c r="L4" s="11" t="str">
        <x:v>直接主体数</x:v>
      </x:c>
      <x:c r="M4" s="11" t="str">
        <x:v>融资投资方数</x:v>
      </x:c>
      <x:c r="N4" s="11" t="str">
        <x:v>老股转让数</x:v>
      </x:c>
      <x:c r="O4" s="11" t="str">
        <x:v>金额覆盖率</x:v>
      </x:c>
      <x:c r="P4" s="11" t="str">
        <x:v>比例测量数</x:v>
      </x:c>
      <x:c r="Q4" s="11" t="str">
        <x:v>确认PE/VC测量</x:v>
      </x:c>
      <x:c r="R4" s="11" t="str">
        <x:v>完整事件数</x:v>
      </x:c>
      <x:c r="S4" s="11" t="str">
        <x:v>披露限制</x:v>
      </x:c>
      <x:c r="T4" s="11" t="str">
        <x:v>研究解释边界</x:v>
      </x:c>
    </x:row>
    <x:row r="5" ht="66" customHeight="1">
      <x:c r="A5" s="26" t="n">
        <x:v>301563</x:v>
      </x:c>
      <x:c r="B5" s="19" t="str">
        <x:v>云汉芯城</x:v>
      </x:c>
      <x:c r="C5" s="29" t="n">
        <x:v>1</x:v>
      </x:c>
      <x:c r="D5" s="29" t="n">
        <x:v>7</x:v>
      </x:c>
      <x:c r="E5" s="32" t="n">
        <x:v>27120</x:v>
      </x:c>
      <x:c r="F5" s="29" t="str">
        <x:v>VALID</x:v>
      </x:c>
      <x:c r="G5" s="29" t="n">
        <x:v>1</x:v>
      </x:c>
      <x:c r="H5" s="29" t="n">
        <x:v>12</x:v>
      </x:c>
      <x:c r="I5" s="29" t="n">
        <x:v>5</x:v>
      </x:c>
      <x:c r="J5" s="29" t="str">
        <x:v>2014-08</x:v>
      </x:c>
      <x:c r="K5" s="29" t="n">
        <x:v>2</x:v>
      </x:c>
      <x:c r="L5" s="29" t="n">
        <x:v>35</x:v>
      </x:c>
      <x:c r="M5" s="29" t="n">
        <x:v>19</x:v>
      </x:c>
      <x:c r="N5" s="29" t="n">
        <x:v>20</x:v>
      </x:c>
      <x:c r="O5" s="35" t="n">
        <x:v>0.42857142857142855</x:v>
      </x:c>
      <x:c r="P5" s="29" t="n">
        <x:v>23</x:v>
      </x:c>
      <x:c r="Q5" s="29" t="n">
        <x:v>12</x:v>
      </x:c>
      <x:c r="R5" s="29" t="n">
        <x:v>3</x:v>
      </x:c>
      <x:c r="S5" s="29" t="n">
        <x:v>1</x:v>
      </x:c>
      <x:c r="T5" s="19" t="str">
        <x:v>7轮融资仅3轮披露金额；20笔转让和19个融资主体会显著影响均值；2015 B轮5个主体比例停止。</x:v>
      </x:c>
    </x:row>
    <x:row r="6" ht="66" customHeight="1">
      <x:c r="A6" s="27" t="n">
        <x:v>1282</x:v>
      </x:c>
      <x:c r="B6" s="20" t="str">
        <x:v>三联锻造</x:v>
      </x:c>
      <x:c r="C6" s="30" t="n">
        <x:v>1</x:v>
      </x:c>
      <x:c r="D6" s="30" t="n">
        <x:v>1</x:v>
      </x:c>
      <x:c r="E6" s="33" t="n">
        <x:v>1566</x:v>
      </x:c>
      <x:c r="F6" s="30" t="str">
        <x:v>VALID</x:v>
      </x:c>
      <x:c r="G6" s="30" t="n">
        <x:v>0</x:v>
      </x:c>
      <x:c r="H6" s="30" t="n">
        <x:v>0</x:v>
      </x:c>
      <x:c r="I6" s="30" t="n">
        <x:v>0</x:v>
      </x:c>
      <x:c r="J6" s="30"/>
      <x:c r="K6" s="30" t="n">
        <x:v>0</x:v>
      </x:c>
      <x:c r="L6" s="30" t="n">
        <x:v>1</x:v>
      </x:c>
      <x:c r="M6" s="30" t="n">
        <x:v>1</x:v>
      </x:c>
      <x:c r="N6" s="30" t="n">
        <x:v>0</x:v>
      </x:c>
      <x:c r="O6" s="36" t="n">
        <x:v>1</x:v>
      </x:c>
      <x:c r="P6" s="30" t="n">
        <x:v>0</x:v>
      </x:c>
      <x:c r="Q6" s="30" t="n">
        <x:v>0</x:v>
      </x:c>
      <x:c r="R6" s="30" t="n">
        <x:v>0</x:v>
      </x:c>
      <x:c r="S6" s="30" t="n">
        <x:v>1</x:v>
      </x:c>
      <x:c r="T6" s="20" t="str">
        <x:v>只有1轮已识别融资，融资时间跨度不适用；投资方身份存在名称交叉映射限制。</x:v>
      </x:c>
    </x:row>
    <x:row r="7" ht="66" customHeight="1">
      <x:c r="A7" s="27" t="n">
        <x:v>301581</x:v>
      </x:c>
      <x:c r="B7" s="20" t="str">
        <x:v>黄山谷捷</x:v>
      </x:c>
      <x:c r="C7" s="30" t="n">
        <x:v>1</x:v>
      </x:c>
      <x:c r="D7" s="30" t="n">
        <x:v>2</x:v>
      </x:c>
      <x:c r="E7" s="33" t="n">
        <x:v>13655.098274</x:v>
      </x:c>
      <x:c r="F7" s="30" t="str">
        <x:v>VALID</x:v>
      </x:c>
      <x:c r="G7" s="30" t="n">
        <x:v>0</x:v>
      </x:c>
      <x:c r="H7" s="30" t="n">
        <x:v>0</x:v>
      </x:c>
      <x:c r="I7" s="30" t="n">
        <x:v>0</x:v>
      </x:c>
      <x:c r="J7" s="30"/>
      <x:c r="K7" s="30" t="n">
        <x:v>0</x:v>
      </x:c>
      <x:c r="L7" s="30" t="n">
        <x:v>6</x:v>
      </x:c>
      <x:c r="M7" s="30" t="n">
        <x:v>3</x:v>
      </x:c>
      <x:c r="N7" s="30" t="n">
        <x:v>1</x:v>
      </x:c>
      <x:c r="O7" s="36" t="n">
        <x:v>1</x:v>
      </x:c>
      <x:c r="P7" s="30" t="n">
        <x:v>0</x:v>
      </x:c>
      <x:c r="Q7" s="30" t="n">
        <x:v>0</x:v>
      </x:c>
      <x:c r="R7" s="30" t="n">
        <x:v>0</x:v>
      </x:c>
      <x:c r="S7" s="30" t="n">
        <x:v>0</x:v>
      </x:c>
      <x:c r="T7" s="20" t="str">
        <x:v>投资者名称保留招股书披露简称；1笔转让对价为显式0，不等同缺失。</x:v>
      </x:c>
    </x:row>
    <x:row r="8" ht="66" customHeight="1">
      <x:c r="A8" s="27" t="n">
        <x:v>603418</x:v>
      </x:c>
      <x:c r="B8" s="20" t="str">
        <x:v>友升股份</x:v>
      </x:c>
      <x:c r="C8" s="30" t="n">
        <x:v>1</x:v>
      </x:c>
      <x:c r="D8" s="30" t="n">
        <x:v>2</x:v>
      </x:c>
      <x:c r="E8" s="33" t="n">
        <x:v>48500</x:v>
      </x:c>
      <x:c r="F8" s="30" t="str">
        <x:v>VALID</x:v>
      </x:c>
      <x:c r="G8" s="30" t="n">
        <x:v>1</x:v>
      </x:c>
      <x:c r="H8" s="30" t="n">
        <x:v>2</x:v>
      </x:c>
      <x:c r="I8" s="30" t="n">
        <x:v>1</x:v>
      </x:c>
      <x:c r="J8" s="30" t="str">
        <x:v>2020-09</x:v>
      </x:c>
      <x:c r="K8" s="30" t="n">
        <x:v>1</x:v>
      </x:c>
      <x:c r="L8" s="30" t="n">
        <x:v>13</x:v>
      </x:c>
      <x:c r="M8" s="30" t="n">
        <x:v>2</x:v>
      </x:c>
      <x:c r="N8" s="30" t="n">
        <x:v>0</x:v>
      </x:c>
      <x:c r="O8" s="36" t="n">
        <x:v>1</x:v>
      </x:c>
      <x:c r="P8" s="30" t="n">
        <x:v>2</x:v>
      </x:c>
      <x:c r="Q8" s="30" t="n">
        <x:v>2</x:v>
      </x:c>
      <x:c r="R8" s="30" t="n">
        <x:v>1</x:v>
      </x:c>
      <x:c r="S8" s="30" t="n">
        <x:v>0</x:v>
      </x:c>
      <x:c r="T8" s="20" t="str">
        <x:v>PE/VC融资轮依赖补充party bridge；2020年两机构持股8.97%有原始表格证据。</x:v>
      </x:c>
    </x:row>
    <x:row r="9" ht="66" customHeight="1">
      <x:c r="A9" s="27" t="n">
        <x:v>688758</x:v>
      </x:c>
      <x:c r="B9" s="20" t="str">
        <x:v>赛分科技</x:v>
      </x:c>
      <x:c r="C9" s="30" t="n">
        <x:v>1</x:v>
      </x:c>
      <x:c r="D9" s="30" t="n">
        <x:v>3</x:v>
      </x:c>
      <x:c r="E9" s="33" t="n">
        <x:v>74000</x:v>
      </x:c>
      <x:c r="F9" s="30" t="str">
        <x:v>VALID</x:v>
      </x:c>
      <x:c r="G9" s="30" t="n">
        <x:v>0</x:v>
      </x:c>
      <x:c r="H9" s="30" t="n">
        <x:v>0</x:v>
      </x:c>
      <x:c r="I9" s="30" t="n">
        <x:v>0</x:v>
      </x:c>
      <x:c r="J9" s="30"/>
      <x:c r="K9" s="30" t="n">
        <x:v>0</x:v>
      </x:c>
      <x:c r="L9" s="30" t="n">
        <x:v>17</x:v>
      </x:c>
      <x:c r="M9" s="30" t="n">
        <x:v>2</x:v>
      </x:c>
      <x:c r="N9" s="30" t="n">
        <x:v>2</x:v>
      </x:c>
      <x:c r="O9" s="36" t="n">
        <x:v>1</x:v>
      </x:c>
      <x:c r="P9" s="30" t="n">
        <x:v>0</x:v>
      </x:c>
      <x:c r="Q9" s="30" t="n">
        <x:v>0</x:v>
      </x:c>
      <x:c r="R9" s="30" t="n">
        <x:v>0</x:v>
      </x:c>
      <x:c r="S9" s="30" t="n">
        <x:v>0</x:v>
      </x:c>
      <x:c r="T9" s="20" t="str">
        <x:v>未确认PE/VC不等于没有机构投资；74,000万元是可核验融资下限。</x:v>
      </x:c>
    </x:row>
    <x:row r="10" ht="66" customHeight="1">
      <x:c r="A10" s="27" t="n">
        <x:v>688775</x:v>
      </x:c>
      <x:c r="B10" s="20" t="str">
        <x:v>影石创新</x:v>
      </x:c>
      <x:c r="C10" s="30" t="n">
        <x:v>0</x:v>
      </x:c>
      <x:c r="D10" s="30" t="n">
        <x:v>0</x:v>
      </x:c>
      <x:c r="E10" s="33"/>
      <x:c r="F10" s="30" t="str">
        <x:v>NOT_COMPUTABLE</x:v>
      </x:c>
      <x:c r="G10" s="30" t="n">
        <x:v>0</x:v>
      </x:c>
      <x:c r="H10" s="30" t="n">
        <x:v>0</x:v>
      </x:c>
      <x:c r="I10" s="30" t="n">
        <x:v>0</x:v>
      </x:c>
      <x:c r="J10" s="30"/>
      <x:c r="K10" s="30" t="n">
        <x:v>0</x:v>
      </x:c>
      <x:c r="L10" s="30" t="n">
        <x:v>1</x:v>
      </x:c>
      <x:c r="M10" s="30" t="n">
        <x:v>0</x:v>
      </x:c>
      <x:c r="N10" s="30" t="n">
        <x:v>1</x:v>
      </x:c>
      <x:c r="O10" s="36"/>
      <x:c r="P10" s="30" t="n">
        <x:v>0</x:v>
      </x:c>
      <x:c r="Q10" s="30" t="n">
        <x:v>0</x:v>
      </x:c>
      <x:c r="R10" s="30" t="n">
        <x:v>0</x:v>
      </x:c>
      <x:c r="S10" s="30" t="n">
        <x:v>1</x:v>
      </x:c>
      <x:c r="T10" s="20" t="str">
        <x:v>融资历史不可重建；冻结口径0轮不表示从未融资；融资金额和对价比保留null。</x:v>
      </x:c>
    </x:row>
    <x:row r="11" ht="66" customHeight="1">
      <x:c r="A11" s="27" t="n">
        <x:v>920100</x:v>
      </x:c>
      <x:c r="B11" s="20" t="str">
        <x:v>三协电机</x:v>
      </x:c>
      <x:c r="C11" s="30" t="n">
        <x:v>1</x:v>
      </x:c>
      <x:c r="D11" s="30" t="n">
        <x:v>2</x:v>
      </x:c>
      <x:c r="E11" s="33" t="n">
        <x:v>4097.49</x:v>
      </x:c>
      <x:c r="F11" s="30" t="str">
        <x:v>VALID</x:v>
      </x:c>
      <x:c r="G11" s="30" t="n">
        <x:v>1</x:v>
      </x:c>
      <x:c r="H11" s="30" t="n">
        <x:v>2</x:v>
      </x:c>
      <x:c r="I11" s="30" t="n">
        <x:v>1</x:v>
      </x:c>
      <x:c r="J11" s="30" t="str">
        <x:v>2022-09-01</x:v>
      </x:c>
      <x:c r="K11" s="30" t="n">
        <x:v>1</x:v>
      </x:c>
      <x:c r="L11" s="30" t="n">
        <x:v>17</x:v>
      </x:c>
      <x:c r="M11" s="30" t="n">
        <x:v>2</x:v>
      </x:c>
      <x:c r="N11" s="30" t="n">
        <x:v>0</x:v>
      </x:c>
      <x:c r="O11" s="36" t="n">
        <x:v>1</x:v>
      </x:c>
      <x:c r="P11" s="30" t="n">
        <x:v>2</x:v>
      </x:c>
      <x:c r="Q11" s="30" t="n">
        <x:v>2</x:v>
      </x:c>
      <x:c r="R11" s="30" t="n">
        <x:v>1</x:v>
      </x:c>
      <x:c r="S11" s="30" t="n">
        <x:v>0</x:v>
      </x:c>
      <x:c r="T11" s="20" t="str">
        <x:v>Week 9仍保留摘要级路径警告；Stage 6已用原始发行披露补齐两机构认购比例。</x:v>
      </x:c>
    </x:row>
    <x:row r="12" ht="66" customHeight="1">
      <x:c r="A12" s="28" t="n">
        <x:v>920116</x:v>
      </x:c>
      <x:c r="B12" s="21" t="str">
        <x:v>星图测控</x:v>
      </x:c>
      <x:c r="C12" s="31" t="n">
        <x:v>1</x:v>
      </x:c>
      <x:c r="D12" s="31" t="n">
        <x:v>1</x:v>
      </x:c>
      <x:c r="E12" s="34" t="n">
        <x:v>4725</x:v>
      </x:c>
      <x:c r="F12" s="31" t="str">
        <x:v>VALID</x:v>
      </x:c>
      <x:c r="G12" s="31" t="n">
        <x:v>0</x:v>
      </x:c>
      <x:c r="H12" s="31" t="n">
        <x:v>0</x:v>
      </x:c>
      <x:c r="I12" s="31" t="n">
        <x:v>0</x:v>
      </x:c>
      <x:c r="J12" s="31"/>
      <x:c r="K12" s="31" t="n">
        <x:v>0</x:v>
      </x:c>
      <x:c r="L12" s="31" t="n">
        <x:v>3</x:v>
      </x:c>
      <x:c r="M12" s="31" t="n">
        <x:v>3</x:v>
      </x:c>
      <x:c r="N12" s="31" t="n">
        <x:v>0</x:v>
      </x:c>
      <x:c r="O12" s="37" t="n">
        <x:v>1</x:v>
      </x:c>
      <x:c r="P12" s="31" t="n">
        <x:v>0</x:v>
      </x:c>
      <x:c r="Q12" s="31" t="n">
        <x:v>0</x:v>
      </x:c>
      <x:c r="R12" s="31" t="n">
        <x:v>0</x:v>
      </x:c>
      <x:c r="S12" s="31" t="n">
        <x:v>0</x:v>
      </x:c>
      <x:c r="T12" s="21" t="str">
        <x:v>只有1轮融资，时间跨度不适用；投资方人数可计数但仍有名称映射限制。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24" hidden="0" customWidth="1"/>
    <x:col min="4" max="4" width="24" hidden="0" customWidth="1"/>
    <x:col min="5" max="5" width="23" hidden="0" customWidth="1"/>
    <x:col min="6" max="6" width="31" hidden="0" customWidth="1"/>
    <x:col min="7" max="7" width="29" hidden="0" customWidth="1"/>
    <x:col min="8" max="8" width="29" hidden="0" customWidth="1"/>
    <x:col min="9" max="9" width="27" hidden="0" customWidth="1"/>
    <x:col min="10" max="10" width="90" hidden="0" customWidth="1"/>
  </x:cols>
  <x:sheetData>
    <x:row r="1" ht="30" customHeight="1">
      <x:c r="A1" s="3" t="str">
        <x:v>关键研究发现与敏感性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7" t="str">
        <x:v>先呈现Stage 8样本内发现，再保留分组均值和云汉个案敏感性；所有结果均不作因果解释。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8" customHeight="1">
      <x:c r="A4" s="11" t="str">
        <x:v>发现ID</x:v>
      </x:c>
      <x:c r="B4" s="11" t="str">
        <x:v>发现</x:v>
      </x:c>
      <x:c r="C4" s="11" t="str">
        <x:v>结果</x:v>
      </x:c>
      <x:c r="D4" s="11" t="str">
        <x:v>单位</x:v>
      </x:c>
      <x:c r="E4" s="11" t="str">
        <x:v>解释边界</x:v>
      </x:c>
      <x:c r="F4" s="11" t="str">
        <x:v>结论状态</x:v>
      </x:c>
    </x:row>
    <x:row r="5" ht="58" customHeight="1">
      <x:c r="A5" s="19" t="str">
        <x:v>F01</x:v>
      </x:c>
      <x:c r="B5" s="19" t="str">
        <x:v>7家公司识别到至少一轮融资；影石创新的0轮仅代表历史不可重建。</x:v>
      </x:c>
      <x:c r="C5" s="19" t="n">
        <x:v>7</x:v>
      </x:c>
      <x:c r="D5" s="19" t="str">
        <x:v>公司</x:v>
      </x:c>
      <x:c r="E5" s="19" t="str">
        <x:v>不能将0轮解释成从未融资。</x:v>
      </x:c>
      <x:c r="F5" s="19" t="str">
        <x:v>DESCRIPTIVE_SAMPLE_ONLY</x:v>
      </x:c>
    </x:row>
    <x:row r="6" ht="58" customHeight="1">
      <x:c r="A6" s="20" t="str">
        <x:v>F02</x:v>
      </x:c>
      <x:c r="B6" s="20" t="str">
        <x:v>融资金额下限对7家公司可计算；金额比较必须同时报告有效N和覆盖率。</x:v>
      </x:c>
      <x:c r="C6" s="20" t="n">
        <x:v>7</x:v>
      </x:c>
      <x:c r="D6" s="20" t="str">
        <x:v>公司</x:v>
      </x:c>
      <x:c r="E6" s="20" t="str">
        <x:v>云汉仅3/7轮披露金额；金额均为下限。</x:v>
      </x:c>
      <x:c r="F6" s="20" t="str">
        <x:v>DESCRIPTIVE_WITH_COVERAGE_GATE</x:v>
      </x:c>
    </x:row>
    <x:row r="7" ht="58" customHeight="1">
      <x:c r="A7" s="20" t="str">
        <x:v>F03</x:v>
      </x:c>
      <x:c r="B7" s="20" t="str">
        <x:v>确认PE/VC支持的公司有3家，其余5家在冻结口径下未确认。</x:v>
      </x:c>
      <x:c r="C7" s="20" t="n">
        <x:v>3</x:v>
      </x:c>
      <x:c r="D7" s="20" t="str">
        <x:v>公司</x:v>
      </x:c>
      <x:c r="E7" s="20" t="str">
        <x:v>未确认PE/VC不等于没有任何外部投资。</x:v>
      </x:c>
      <x:c r="F7" s="20" t="str">
        <x:v>DESCRIPTIVE_SAMPLE_ONLY</x:v>
      </x:c>
    </x:row>
    <x:row r="8" ht="58" customHeight="1">
      <x:c r="A8" s="20" t="str">
        <x:v>F04</x:v>
      </x:c>
      <x:c r="B8" s="20" t="str">
        <x:v>PE/VC组平均融资轮数高于未确认组，但该结果只产生研究假设。</x:v>
      </x:c>
      <x:c r="C8" s="20" t="n">
        <x:v>2.2666666666666666</x:v>
      </x:c>
      <x:c r="D8" s="20" t="str">
        <x:v>轮</x:v>
      </x:c>
      <x:c r="E8" s="20" t="str">
        <x:v>3对5比较，不进行显著性或因果解释。</x:v>
      </x:c>
      <x:c r="F8" s="20" t="str">
        <x:v>HYPOTHESIS_GENERATING</x:v>
      </x:c>
    </x:row>
    <x:row r="9" ht="58" customHeight="1">
      <x:c r="A9" s="20" t="str">
        <x:v>F05</x:v>
      </x:c>
      <x:c r="B9" s="20" t="str">
        <x:v>剔除云汉后，PE/VC组平均融资投资方数接近未确认组。</x:v>
      </x:c>
      <x:c r="C9" s="20" t="n">
        <x:v>0.19999999999999996</x:v>
      </x:c>
      <x:c r="D9" s="20" t="str">
        <x:v>个</x:v>
      </x:c>
      <x:c r="E9" s="20" t="str">
        <x:v>说明主体广度差异受到单一公司的显著影响。</x:v>
      </x:c>
      <x:c r="F9" s="20" t="str">
        <x:v>SENSITIVITY_REQUIRED</x:v>
      </x:c>
    </x:row>
    <x:row r="10" ht="58" customHeight="1">
      <x:c r="A10" s="20" t="str">
        <x:v>F06</x:v>
      </x:c>
      <x:c r="B10" s="20" t="str">
        <x:v>云汉20笔股权转让主导PE/VC组转让均值；剔除后方向反转。</x:v>
      </x:c>
      <x:c r="C10" s="20" t="n">
        <x:v>20</x:v>
      </x:c>
      <x:c r="D10" s="20" t="str">
        <x:v>笔</x:v>
      </x:c>
      <x:c r="E10" s="20" t="str">
        <x:v>一级融资与老股转让必须分开。</x:v>
      </x:c>
      <x:c r="F10" s="20" t="str">
        <x:v>OUTLIER_SENSITIVE</x:v>
      </x:c>
    </x:row>
    <x:row r="11" ht="58" customHeight="1">
      <x:c r="A11" s="20" t="str">
        <x:v>F07</x:v>
      </x:c>
      <x:c r="B11" s="20" t="str">
        <x:v>三个PE/VC公司可以形成同轮投资者持股强度案例。</x:v>
      </x:c>
      <x:c r="C11" s="20" t="n">
        <x:v>3</x:v>
      </x:c>
      <x:c r="D11" s="20" t="str">
        <x:v>公司</x:v>
      </x:c>
      <x:c r="E11" s="20" t="str">
        <x:v>比例只属于对应交易时点。</x:v>
      </x:c>
      <x:c r="F11" s="20" t="str">
        <x:v>CASE_COMPARATIVE</x:v>
      </x:c>
    </x:row>
    <x:row r="12" ht="58" customHeight="1">
      <x:c r="A12" s="21" t="str">
        <x:v>F08</x:v>
      </x:c>
      <x:c r="B12" s="21" t="str">
        <x:v>云汉2015年B轮仍有5项正式停止；Stage 6整体还有19条不可计算路径。</x:v>
      </x:c>
      <x:c r="C12" s="21" t="n">
        <x:v>5</x:v>
      </x:c>
      <x:c r="D12" s="21" t="str">
        <x:v>项</x:v>
      </x:c>
      <x:c r="E12" s="21" t="str">
        <x:v>缺失不补0，不使用后续快照倒推。</x:v>
      </x:c>
      <x:c r="F12" s="21" t="str">
        <x:v>EVIDENCE_BOUNDARY</x:v>
      </x:c>
    </x:row>
    <x:row r="15" ht="28" customHeight="1">
      <x:c r="A15" s="2" t="str">
        <x:v>PE/VC探索性分组比较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38" customHeight="1">
      <x:c r="A16" s="11" t="str">
        <x:v>分组</x:v>
      </x:c>
      <x:c r="B16" s="11" t="str">
        <x:v>PE/VC标记</x:v>
      </x:c>
      <x:c r="C16" s="11" t="str">
        <x:v>公司数</x:v>
      </x:c>
      <x:c r="D16" s="11" t="str">
        <x:v>平均融资轮数</x:v>
      </x:c>
      <x:c r="E16" s="11" t="str">
        <x:v>金额有效N</x:v>
      </x:c>
      <x:c r="F16" s="11" t="str">
        <x:v>平均融资下限(万元)</x:v>
      </x:c>
      <x:c r="G16" s="11" t="str">
        <x:v>平均直接主体数</x:v>
      </x:c>
      <x:c r="H16" s="11" t="str">
        <x:v>平均融资投资方数</x:v>
      </x:c>
      <x:c r="I16" s="11" t="str">
        <x:v>平均老股转让数</x:v>
      </x:c>
      <x:c r="J16" s="11" t="str">
        <x:v>解释边界</x:v>
      </x:c>
    </x:row>
    <x:row r="17" ht="48" customHeight="1">
      <x:c r="A17" s="19" t="str">
        <x:v>确认PE/VC公司</x:v>
      </x:c>
      <x:c r="B17" s="19" t="n">
        <x:v>1</x:v>
      </x:c>
      <x:c r="C17" s="19" t="n">
        <x:v>3</x:v>
      </x:c>
      <x:c r="D17" s="19" t="n">
        <x:v>3.6666666666666665</x:v>
      </x:c>
      <x:c r="E17" s="19" t="n">
        <x:v>3</x:v>
      </x:c>
      <x:c r="F17" s="19" t="n">
        <x:v>26572.49666666667</x:v>
      </x:c>
      <x:c r="G17" s="19" t="n">
        <x:v>21.666666666666668</x:v>
      </x:c>
      <x:c r="H17" s="19" t="n">
        <x:v>7.666666666666667</x:v>
      </x:c>
      <x:c r="I17" s="19" t="n">
        <x:v>6.666666666666667</x:v>
      </x:c>
      <x:c r="J17" s="19" t="str">
        <x:v>3家公司；只能形成研究假设</x:v>
      </x:c>
    </x:row>
    <x:row r="18" ht="48" customHeight="1">
      <x:c r="A18" s="21" t="str">
        <x:v>未确认PE/VC公司</x:v>
      </x:c>
      <x:c r="B18" s="21" t="n">
        <x:v>0</x:v>
      </x:c>
      <x:c r="C18" s="21" t="n">
        <x:v>5</x:v>
      </x:c>
      <x:c r="D18" s="21" t="n">
        <x:v>1.4</x:v>
      </x:c>
      <x:c r="E18" s="21" t="n">
        <x:v>4</x:v>
      </x:c>
      <x:c r="F18" s="21" t="n">
        <x:v>23486.5245685</x:v>
      </x:c>
      <x:c r="G18" s="21" t="n">
        <x:v>5.6</x:v>
      </x:c>
      <x:c r="H18" s="21" t="n">
        <x:v>1.8</x:v>
      </x:c>
      <x:c r="I18" s="21" t="n">
        <x:v>0.8</x:v>
      </x:c>
      <x:c r="J18" s="21" t="str">
        <x:v>5家公司；0代表现有口径未确认</x:v>
      </x:c>
    </x:row>
    <x:row r="21" ht="28" customHeight="1">
      <x:c r="A21" s="2" t="str">
        <x:v>剔除云汉芯城的敏感性比较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8" customHeight="1">
      <x:c r="A22" s="11" t="str">
        <x:v>分组</x:v>
      </x:c>
      <x:c r="B22" s="11" t="str">
        <x:v>PE/VC标记</x:v>
      </x:c>
      <x:c r="C22" s="11" t="str">
        <x:v>公司数</x:v>
      </x:c>
      <x:c r="D22" s="11" t="str">
        <x:v>平均融资轮数</x:v>
      </x:c>
      <x:c r="E22" s="11" t="str">
        <x:v>金额有效N</x:v>
      </x:c>
      <x:c r="F22" s="11" t="str">
        <x:v>平均融资下限(万元)</x:v>
      </x:c>
      <x:c r="G22" s="11" t="str">
        <x:v>平均融资投资方数</x:v>
      </x:c>
      <x:c r="H22" s="11" t="str">
        <x:v>平均老股转让数</x:v>
      </x:c>
      <x:c r="I22" s="11" t="str">
        <x:v>说明</x:v>
      </x:c>
    </x:row>
    <x:row r="23" ht="48" customHeight="1">
      <x:c r="A23" s="19" t="str">
        <x:v>完整PE/VC组</x:v>
      </x:c>
      <x:c r="B23" s="19" t="n">
        <x:v>1</x:v>
      </x:c>
      <x:c r="C23" s="19" t="n">
        <x:v>3</x:v>
      </x:c>
      <x:c r="D23" s="19" t="n">
        <x:v>3.6666666666666665</x:v>
      </x:c>
      <x:c r="E23" s="19" t="n">
        <x:v>3</x:v>
      </x:c>
      <x:c r="F23" s="19" t="n">
        <x:v>26572.49666666667</x:v>
      </x:c>
      <x:c r="G23" s="19" t="n">
        <x:v>7.666666666666667</x:v>
      </x:c>
      <x:c r="H23" s="19" t="n">
        <x:v>6.666666666666667</x:v>
      </x:c>
      <x:c r="I23" s="19" t="str">
        <x:v>含云汉芯城</x:v>
      </x:c>
    </x:row>
    <x:row r="24" ht="48" customHeight="1">
      <x:c r="A24" s="20" t="str">
        <x:v>排除指定公司后的PE/VC组</x:v>
      </x:c>
      <x:c r="B24" s="20" t="n">
        <x:v>1</x:v>
      </x:c>
      <x:c r="C24" s="20" t="n">
        <x:v>2</x:v>
      </x:c>
      <x:c r="D24" s="20" t="n">
        <x:v>2</x:v>
      </x:c>
      <x:c r="E24" s="20" t="n">
        <x:v>2</x:v>
      </x:c>
      <x:c r="F24" s="20" t="n">
        <x:v>26298.745</x:v>
      </x:c>
      <x:c r="G24" s="20" t="n">
        <x:v>2</x:v>
      </x:c>
      <x:c r="H24" s="20" t="n">
        <x:v>0</x:v>
      </x:c>
      <x:c r="I24" s="20" t="str">
        <x:v>排除B4公司</x:v>
      </x:c>
    </x:row>
    <x:row r="25" ht="48" customHeight="1">
      <x:c r="A25" s="21" t="str">
        <x:v>未确认PE/VC对照组</x:v>
      </x:c>
      <x:c r="B25" s="21" t="n">
        <x:v>0</x:v>
      </x:c>
      <x:c r="C25" s="21" t="n">
        <x:v>5</x:v>
      </x:c>
      <x:c r="D25" s="21" t="n">
        <x:v>1.4</x:v>
      </x:c>
      <x:c r="E25" s="21" t="n">
        <x:v>4</x:v>
      </x:c>
      <x:c r="F25" s="21" t="n">
        <x:v>23486.5245685</x:v>
      </x:c>
      <x:c r="G25" s="21" t="n">
        <x:v>1.8</x:v>
      </x:c>
      <x:c r="H25" s="21" t="n">
        <x:v>0.8</x:v>
      </x:c>
      <x:c r="I25" s="21" t="str">
        <x:v>保持原5家公司</x:v>
      </x:c>
    </x:row>
  </x:sheetData>
  <x:mergeCells>
    <x:mergeCell ref="A1:J1"/>
    <x:mergeCell ref="A2:J2"/>
    <x:mergeCell ref="A15:J15"/>
    <x:mergeCell ref="A21:J21"/>
  </x:mergeCells>
  <x:conditionalFormatting sqref="F5:F12">
    <x:cfRule type="containsText" dxfId="1" priority="1" operator="containsText" text="SENSITIVITY"/>
    <x:cfRule type="containsText" dxfId="2" priority="2" operator="containsText" text="OUTLIE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6" hidden="0" customWidth="1"/>
    <x:col min="3" max="3" width="24" hidden="0" customWidth="1"/>
    <x:col min="4" max="4" width="64" hidden="0" customWidth="1"/>
    <x:col min="5" max="5" width="42" hidden="0" customWidth="1"/>
    <x:col min="6" max="6" width="32" hidden="0" customWidth="1"/>
    <x:col min="7" max="7" width="80" hidden="0" customWidth="1"/>
  </x:cols>
  <x:sheetData>
    <x:row r="1" ht="30" customHeight="1">
      <x:c r="A1" s="3" t="str">
        <x:v>当前数据的学术价值</x:v>
      </x:c>
      <x:c r="B1" s="3"/>
      <x:c r="C1" s="3"/>
      <x:c r="D1" s="3"/>
      <x:c r="E1" s="3"/>
      <x:c r="F1" s="3"/>
      <x:c r="G1" s="3"/>
    </x:row>
    <x:row r="2" ht="44" customHeight="1">
      <x:c r="A2" s="7" t="str">
        <x:v>价值是可以提出并严谨回答的问题，不等于已经形成大样本论文结论。</x:v>
      </x:c>
      <x:c r="B2" s="7"/>
      <x:c r="C2" s="7"/>
      <x:c r="D2" s="7"/>
      <x:c r="E2" s="7"/>
      <x:c r="F2" s="7"/>
      <x:c r="G2" s="7"/>
    </x:row>
    <x:row r="4" ht="38" customHeight="1">
      <x:c r="A4" s="11" t="str">
        <x:v>问题ID</x:v>
      </x:c>
      <x:c r="B4" s="11" t="str">
        <x:v>研究问题</x:v>
      </x:c>
      <x:c r="C4" s="11" t="str">
        <x:v>分析单位</x:v>
      </x:c>
      <x:c r="D4" s="11" t="str">
        <x:v>数据输入</x:v>
      </x:c>
      <x:c r="E4" s="11" t="str">
        <x:v>当前方法</x:v>
      </x:c>
      <x:c r="F4" s="11" t="str">
        <x:v>成熟度</x:v>
      </x:c>
      <x:c r="G4" s="11" t="str">
        <x:v>强制边界</x:v>
      </x:c>
    </x:row>
    <x:row r="5" ht="68" customHeight="1">
      <x:c r="A5" s="19" t="str">
        <x:v>AQ01</x:v>
      </x:c>
      <x:c r="B5" s="19" t="str">
        <x:v>融资轮数、已知金额和节奏差异</x:v>
      </x:c>
      <x:c r="C5" s="19" t="str">
        <x:v>公司</x:v>
      </x:c>
      <x:c r="D5" s="19" t="str">
        <x:v>CV001—CV010；CV027—CV030</x:v>
      </x:c>
      <x:c r="E5" s="19" t="str">
        <x:v>八家公司描述统计</x:v>
      </x:c>
      <x:c r="F5" s="19" t="str">
        <x:v>READY</x:v>
      </x:c>
      <x:c r="G5" s="19" t="str">
        <x:v>只解释样本内差异</x:v>
      </x:c>
    </x:row>
    <x:row r="6" ht="68" customHeight="1">
      <x:c r="A6" s="20" t="str">
        <x:v>AQ02</x:v>
      </x:c>
      <x:c r="B6" s="20" t="str">
        <x:v>确认PE/VC与未确认组是否呈现不同融资模式</x:v>
      </x:c>
      <x:c r="C6" s="20" t="str">
        <x:v>公司分组</x:v>
      </x:c>
      <x:c r="D6" s="20" t="str">
        <x:v>CV002；CV003；CV011—CV014；CV020—CV022</x:v>
      </x:c>
      <x:c r="E6" s="20" t="str">
        <x:v>3对5探索性比较+敏感性</x:v>
      </x:c>
      <x:c r="F6" s="20" t="str">
        <x:v>HYPOTHESIS_GENERATING</x:v>
      </x:c>
      <x:c r="G6" s="20" t="str">
        <x:v>云汉是强影响个案；禁止因果推断</x:v>
      </x:c>
    </x:row>
    <x:row r="7" ht="68" customHeight="1">
      <x:c r="A7" s="20" t="str">
        <x:v>AQ03</x:v>
      </x:c>
      <x:c r="B7" s="20" t="str">
        <x:v>PE/VC进入时点、方式和持股强度如何共同构成路径</x:v>
      </x:c>
      <x:c r="C7" s="20" t="str">
        <x:v>公司—事件</x:v>
      </x:c>
      <x:c r="D7" s="20" t="str">
        <x:v>CV014—CV019；27条比例</x:v>
      </x:c>
      <x:c r="E7" s="20" t="str">
        <x:v>三家公司时序案例</x:v>
      </x:c>
      <x:c r="F7" s="20" t="str">
        <x:v>CASE_READY</x:v>
      </x:c>
      <x:c r="G7" s="20" t="str">
        <x:v>比例仅属于对应交易时点</x:v>
      </x:c>
    </x:row>
    <x:row r="8" ht="68" customHeight="1">
      <x:c r="A8" s="20" t="str">
        <x:v>AQ04</x:v>
      </x:c>
      <x:c r="B8" s="20" t="str">
        <x:v>PE/VC与产业投资者的同轮共投结构</x:v>
      </x:c>
      <x:c r="C8" s="20" t="str">
        <x:v>事件—投资者</x:v>
      </x:c>
      <x:c r="D8" s="20" t="str">
        <x:v>主体类型；个体比例</x:v>
      </x:c>
      <x:c r="E8" s="20" t="str">
        <x:v>云汉同轮案例</x:v>
      </x:c>
      <x:c r="F8" s="20" t="str">
        <x:v>SINGLE_CASE_READY</x:v>
      </x:c>
      <x:c r="G8" s="20" t="str">
        <x:v>不能推广为普遍规律</x:v>
      </x:c>
    </x:row>
    <x:row r="9" ht="68" customHeight="1">
      <x:c r="A9" s="20" t="str">
        <x:v>AQ05</x:v>
      </x:c>
      <x:c r="B9" s="20" t="str">
        <x:v>增资进入与老股转让进入的作用差异</x:v>
      </x:c>
      <x:c r="C9" s="20" t="str">
        <x:v>公司—交易</x:v>
      </x:c>
      <x:c r="D9" s="20" t="str">
        <x:v>CV019；CV024—CV026</x:v>
      </x:c>
      <x:c r="E9" s="20" t="str">
        <x:v>并列时间线和条件案例</x:v>
      </x:c>
      <x:c r="F9" s="20" t="str">
        <x:v>LIMITED</x:v>
      </x:c>
      <x:c r="G9" s="20" t="str">
        <x:v>转让对价不可并入发行人融资</x:v>
      </x:c>
    </x:row>
    <x:row r="10" ht="68" customHeight="1">
      <x:c r="A10" s="21" t="str">
        <x:v>AQ06</x:v>
      </x:c>
      <x:c r="B10" s="21" t="str">
        <x:v>披露完整度如何影响可观察融资结果</x:v>
      </x:c>
      <x:c r="C10" s="21" t="str">
        <x:v>公司/字段</x:v>
      </x:c>
      <x:c r="D10" s="21" t="str">
        <x:v>CV027—CV032；路径状态</x:v>
      </x:c>
      <x:c r="E10" s="21" t="str">
        <x:v>缺失机制和证据边界审计</x:v>
      </x:c>
      <x:c r="F10" s="21" t="str">
        <x:v>METHOD_READY</x:v>
      </x:c>
      <x:c r="G10" s="21" t="str">
        <x:v>披露不足不是公司质量差</x:v>
      </x:c>
    </x:row>
  </x:sheetData>
  <x:mergeCells>
    <x:mergeCell ref="A1:G1"/>
    <x:mergeCell ref="A2:G2"/>
  </x:mergeCells>
  <x:conditionalFormatting sqref="F5:F10">
    <x:cfRule type="containsText" dxfId="3" priority="1" operator="containsText" text="READY"/>
    <x:cfRule type="containsText" dxfId="4" priority="2" operator="containsText" text="LIMI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0" hidden="0" customWidth="1"/>
    <x:col min="3" max="3" width="50" hidden="0" customWidth="1"/>
    <x:col min="4" max="4" width="62" hidden="0" customWidth="1"/>
    <x:col min="5" max="5" width="28" hidden="0" customWidth="1"/>
    <x:col min="6" max="6" width="32" hidden="0" customWidth="1"/>
    <x:col min="7" max="7" width="82" hidden="0" customWidth="1"/>
  </x:cols>
  <x:sheetData>
    <x:row r="1" ht="30" customHeight="1">
      <x:c r="A1" s="3" t="str">
        <x:v>当前数据的商业价值</x:v>
      </x:c>
      <x:c r="B1" s="3"/>
      <x:c r="C1" s="3"/>
      <x:c r="D1" s="3"/>
      <x:c r="E1" s="3"/>
      <x:c r="F1" s="3"/>
      <x:c r="G1" s="3"/>
    </x:row>
    <x:row r="2" ht="44" customHeight="1">
      <x:c r="A2" s="7" t="str">
        <x:v>商业价值主要体现为融资结构画像、机构路径核验和尽调证据追溯，不构成投资建议或估值结论。</x:v>
      </x:c>
      <x:c r="B2" s="7"/>
      <x:c r="C2" s="7"/>
      <x:c r="D2" s="7"/>
      <x:c r="E2" s="7"/>
      <x:c r="F2" s="7"/>
      <x:c r="G2" s="7"/>
    </x:row>
    <x:row r="4" ht="38" customHeight="1">
      <x:c r="A4" s="11" t="str">
        <x:v>问题ID</x:v>
      </x:c>
      <x:c r="B4" s="11" t="str">
        <x:v>商业问题</x:v>
      </x:c>
      <x:c r="C4" s="11" t="str">
        <x:v>可用场景</x:v>
      </x:c>
      <x:c r="D4" s="11" t="str">
        <x:v>数据输入</x:v>
      </x:c>
      <x:c r="E4" s="11" t="str">
        <x:v>覆盖</x:v>
      </x:c>
      <x:c r="F4" s="11" t="str">
        <x:v>成熟度</x:v>
      </x:c>
      <x:c r="G4" s="11" t="str">
        <x:v>强制边界</x:v>
      </x:c>
    </x:row>
    <x:row r="5" ht="68" customHeight="1">
      <x:c r="A5" s="19" t="str">
        <x:v>BQ01</x:v>
      </x:c>
      <x:c r="B5" s="19" t="str">
        <x:v>交易完成后投资者取得多少权益</x:v>
      </x:c>
      <x:c r="C5" s="19" t="str">
        <x:v>股权稀释和影响力核查</x:v>
      </x:c>
      <x:c r="D5" s="19" t="str">
        <x:v>27条个体比例；6条事件合计</x:v>
      </x:c>
      <x:c r="E5" s="19" t="str">
        <x:v>3家公司可用</x:v>
      </x:c>
      <x:c r="F5" s="19" t="str">
        <x:v>CASE_READY</x:v>
      </x:c>
      <x:c r="G5" s="19" t="str">
        <x:v>无完整股东表不计算控制权</x:v>
      </x:c>
    </x:row>
    <x:row r="6" ht="68" customHeight="1">
      <x:c r="A6" s="20" t="str">
        <x:v>BQ02</x:v>
      </x:c>
      <x:c r="B6" s="20" t="str">
        <x:v>同轮是否存在主要机构与集中持股</x:v>
      </x:c>
      <x:c r="C6" s="20" t="str">
        <x:v>机构组合与共投结构</x:v>
      </x:c>
      <x:c r="D6" s="20" t="str">
        <x:v>同轮个体比例和投资者类型</x:v>
      </x:c>
      <x:c r="E6" s="20" t="str">
        <x:v>部分可用</x:v>
      </x:c>
      <x:c r="F6" s="20" t="str">
        <x:v>LIMITED</x:v>
      </x:c>
      <x:c r="G6" s="20" t="str">
        <x:v>仅完整同轮名册才判断集中度</x:v>
      </x:c>
    </x:row>
    <x:row r="7" ht="68" customHeight="1">
      <x:c r="A7" s="20" t="str">
        <x:v>BQ03</x:v>
      </x:c>
      <x:c r="B7" s="20" t="str">
        <x:v>融资频率、规模和投资者密度处于样本什么位置</x:v>
      </x:c>
      <x:c r="C7" s="20" t="str">
        <x:v>八家公司内部基准</x:v>
      </x:c>
      <x:c r="D7" s="20" t="str">
        <x:v>CV002—CV010；CV020—CV022</x:v>
      </x:c>
      <x:c r="E7" s="20" t="str">
        <x:v>八家公司可用</x:v>
      </x:c>
      <x:c r="F7" s="20" t="str">
        <x:v>READY</x:v>
      </x:c>
      <x:c r="G7" s="20" t="str">
        <x:v>不是行业基准或公司排名</x:v>
      </x:c>
    </x:row>
    <x:row r="8" ht="68" customHeight="1">
      <x:c r="A8" s="20" t="str">
        <x:v>BQ04</x:v>
      </x:c>
      <x:c r="B8" s="20" t="str">
        <x:v>融资结论能否追溯到主体、事件、页码和原文</x:v>
      </x:c>
      <x:c r="C8" s="20" t="str">
        <x:v>尽调底稿和证据追溯</x:v>
      </x:c>
      <x:c r="D8" s="20" t="str">
        <x:v>CV027—CV032；证据ID</x:v>
      </x:c>
      <x:c r="E8" s="20" t="str">
        <x:v>可用</x:v>
      </x:c>
      <x:c r="F8" s="20" t="str">
        <x:v>READY</x:v>
      </x:c>
      <x:c r="G8" s="20" t="str">
        <x:v>可追溯不等于投资结论正确</x:v>
      </x:c>
    </x:row>
    <x:row r="9" ht="68" customHeight="1">
      <x:c r="A9" s="20" t="str">
        <x:v>BQ05</x:v>
      </x:c>
      <x:c r="B9" s="20" t="str">
        <x:v>PE/VC何时、以何种方式进入及是否多轮参与</x:v>
      </x:c>
      <x:c r="C9" s="20" t="str">
        <x:v>机构路径卡片</x:v>
      </x:c>
      <x:c r="D9" s="20" t="str">
        <x:v>CV014—CV019；事件比例</x:v>
      </x:c>
      <x:c r="E9" s="20" t="str">
        <x:v>3家公司可用</x:v>
      </x:c>
      <x:c r="F9" s="20" t="str">
        <x:v>CASE_READY</x:v>
      </x:c>
      <x:c r="G9" s="20" t="str">
        <x:v>未披露追加不等于没有追加</x:v>
      </x:c>
    </x:row>
    <x:row r="10" ht="68" customHeight="1">
      <x:c r="A10" s="21" t="str">
        <x:v>BQ06</x:v>
      </x:c>
      <x:c r="B10" s="21" t="str">
        <x:v>Schema和变量体系能否迁移到新公司</x:v>
      </x:c>
      <x:c r="C10" s="21" t="str">
        <x:v>数据产品扩展性</x:v>
      </x:c>
      <x:c r="D10" s="21" t="str">
        <x:v>9表Schema；32变量；质量门槛</x:v>
      </x:c>
      <x:c r="E10" s="21" t="str">
        <x:v>本周未测试</x:v>
      </x:c>
      <x:c r="F10" s="21" t="str">
        <x:v>DEFERRED_BY_SCOPE</x:v>
      </x:c>
      <x:c r="G10" s="21" t="str">
        <x:v>八家公司内部成功不证明外部覆盖</x:v>
      </x:c>
    </x:row>
  </x:sheetData>
  <x:mergeCells>
    <x:mergeCell ref="A1:G1"/>
    <x:mergeCell ref="A2:G2"/>
  </x:mergeCells>
  <x:conditionalFormatting sqref="F5:F10">
    <x:cfRule type="containsText" dxfId="5" priority="1" operator="containsText" text="READY"/>
    <x:cfRule type="containsText" dxfId="6" priority="2" operator="containsText" text="DEFERR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7" hidden="0" customWidth="1"/>
    <x:col min="3" max="3" width="64" hidden="0" customWidth="1"/>
    <x:col min="4" max="4" width="37" hidden="0" customWidth="1"/>
    <x:col min="5" max="5" width="65" hidden="0" customWidth="1"/>
    <x:col min="6" max="6" width="65" hidden="0" customWidth="1"/>
    <x:col min="7" max="7" width="18" hidden="0" customWidth="1"/>
    <x:col min="8" max="8" width="56" hidden="0" customWidth="1"/>
  </x:cols>
  <x:sheetData>
    <x:row r="1" ht="30" customHeight="1">
      <x:c r="A1" s="3" t="str">
        <x:v>正式停止、证据不足与延期事项</x:v>
      </x:c>
      <x:c r="B1" s="3"/>
      <x:c r="C1" s="3"/>
      <x:c r="D1" s="3"/>
      <x:c r="E1" s="3"/>
      <x:c r="F1" s="3"/>
      <x:c r="G1" s="3"/>
      <x:c r="H1" s="3"/>
    </x:row>
    <x:row r="2" ht="44" customHeight="1">
      <x:c r="A2" s="7" t="str">
        <x:v>停止意味着当前证据链已穷尽，不再重复追查；延期意味着需要新增来源、异质样本或后续周次。</x:v>
      </x:c>
      <x:c r="B2" s="7"/>
      <x:c r="C2" s="7"/>
      <x:c r="D2" s="7"/>
      <x:c r="E2" s="7"/>
      <x:c r="F2" s="7"/>
      <x:c r="G2" s="7"/>
      <x:c r="H2" s="7"/>
    </x:row>
    <x:row r="4" ht="38" customHeight="1">
      <x:c r="A4" s="11" t="str">
        <x:v>事项ID</x:v>
      </x:c>
      <x:c r="B4" s="11" t="str">
        <x:v>事项</x:v>
      </x:c>
      <x:c r="C4" s="11" t="str">
        <x:v>原因</x:v>
      </x:c>
      <x:c r="D4" s="11" t="str">
        <x:v>状态</x:v>
      </x:c>
      <x:c r="E4" s="11" t="str">
        <x:v>当前处理</x:v>
      </x:c>
      <x:c r="F4" s="11" t="str">
        <x:v>重启条件</x:v>
      </x:c>
      <x:c r="G4" s="11" t="str">
        <x:v>影响级别</x:v>
      </x:c>
      <x:c r="H4" s="11" t="str">
        <x:v>影响范围</x:v>
      </x:c>
    </x:row>
    <x:row r="5" ht="68" customHeight="1">
      <x:c r="A5" s="19" t="str">
        <x:v>P01</x:v>
      </x:c>
      <x:c r="B5" s="19" t="str">
        <x:v>云汉2015年B轮5个主体个体比例</x:v>
      </x:c>
      <x:c r="C5" s="19" t="str">
        <x:v>缺少同轮个体持股/出资明细</x:v>
      </x:c>
      <x:c r="D5" s="19" t="str">
        <x:v>FORMAL_STOP</x:v>
      </x:c>
      <x:c r="E5" s="19" t="str">
        <x:v>保留null；不以较晚快照倒推</x:v>
      </x:c>
      <x:c r="F5" s="19" t="str">
        <x:v>如出现同期原始股东表再重启</x:v>
      </x:c>
      <x:c r="G5" s="19" t="str">
        <x:v>高</x:v>
      </x:c>
      <x:c r="H5" s="19" t="str">
        <x:v>不影响已闭合事件</x:v>
      </x:c>
    </x:row>
    <x:row r="6" ht="68" customHeight="1">
      <x:c r="A6" s="20" t="str">
        <x:v>P02</x:v>
      </x:c>
      <x:c r="B6" s="20" t="str">
        <x:v>19条投资路径比例</x:v>
      </x:c>
      <x:c r="C6" s="20" t="str">
        <x:v>现有证据无法闭合</x:v>
      </x:c>
      <x:c r="D6" s="20" t="str">
        <x:v>NOT_COMPUTABLE_RETAINED</x:v>
      </x:c>
      <x:c r="E6" s="20" t="str">
        <x:v>保留null和证据说明</x:v>
      </x:c>
      <x:c r="F6" s="20" t="str">
        <x:v>新增交易时点原始披露</x:v>
      </x:c>
      <x:c r="G6" s="20" t="str">
        <x:v>中</x:v>
      </x:c>
      <x:c r="H6" s="20" t="str">
        <x:v>限制路径强度比较</x:v>
      </x:c>
    </x:row>
    <x:row r="7" ht="68" customHeight="1">
      <x:c r="A7" s="20" t="str">
        <x:v>P03</x:v>
      </x:c>
      <x:c r="B7" s="20" t="str">
        <x:v>影石创新完整融资历史</x:v>
      </x:c>
      <x:c r="C7" s="20" t="str">
        <x:v>招股书现有信息不能重建</x:v>
      </x:c>
      <x:c r="D7" s="20" t="str">
        <x:v>NOT_COMPUTABLE</x:v>
      </x:c>
      <x:c r="E7" s="20" t="str">
        <x:v>3项变量保持null；0轮附边界</x:v>
      </x:c>
      <x:c r="F7" s="20" t="str">
        <x:v>新增可靠融资历史来源</x:v>
      </x:c>
      <x:c r="G7" s="20" t="str">
        <x:v>高</x:v>
      </x:c>
      <x:c r="H7" s="20" t="str">
        <x:v>不得解释为从未融资</x:v>
      </x:c>
    </x:row>
    <x:row r="8" ht="68" customHeight="1">
      <x:c r="A8" s="20" t="str">
        <x:v>P04</x:v>
      </x:c>
      <x:c r="B8" s="20" t="str">
        <x:v>云汉4轮融资金额</x:v>
      </x:c>
      <x:c r="C8" s="20" t="str">
        <x:v>金额未披露且不可透明计算</x:v>
      </x:c>
      <x:c r="D8" s="20" t="str">
        <x:v>DEFERRED_SOURCE_REQUIRED</x:v>
      </x:c>
      <x:c r="E8" s="20" t="str">
        <x:v>金额下限只覆盖3/7轮</x:v>
      </x:c>
      <x:c r="F8" s="20" t="str">
        <x:v>同期增资金额或可核算组成</x:v>
      </x:c>
      <x:c r="G8" s="20" t="str">
        <x:v>中</x:v>
      </x:c>
      <x:c r="H8" s="20" t="str">
        <x:v>金额比较须报告覆盖率</x:v>
      </x:c>
    </x:row>
    <x:row r="9" ht="68" customHeight="1">
      <x:c r="A9" s="20" t="str">
        <x:v>P05</x:v>
      </x:c>
      <x:c r="B9" s="20" t="str">
        <x:v>匿名ID名称级网络</x:v>
      </x:c>
      <x:c r="C9" s="20" t="str">
        <x:v>存在跨事件复用和集合歧义</x:v>
      </x:c>
      <x:c r="D9" s="20" t="str">
        <x:v>LIMITED</x:v>
      </x:c>
      <x:c r="E9" s="20" t="str">
        <x:v>使用交易级参与者名册</x:v>
      </x:c>
      <x:c r="F9" s="20" t="str">
        <x:v>稳定的原始名称crosswalk</x:v>
      </x:c>
      <x:c r="G9" s="20" t="str">
        <x:v>中</x:v>
      </x:c>
      <x:c r="H9" s="20" t="str">
        <x:v>不影响交易级计数</x:v>
      </x:c>
    </x:row>
    <x:row r="10" ht="68" customHeight="1">
      <x:c r="A10" s="20" t="str">
        <x:v>P06</x:v>
      </x:c>
      <x:c r="B10" s="20" t="str">
        <x:v>CV023融资方式多样性</x:v>
      </x:c>
      <x:c r="C10" s="20" t="str">
        <x:v>当前与CV001完全一致</x:v>
      </x:c>
      <x:c r="D10" s="20" t="str">
        <x:v>DEFERRED</x:v>
      </x:c>
      <x:c r="E10" s="20" t="str">
        <x:v>不作为核心分析变量</x:v>
      </x:c>
      <x:c r="F10" s="20" t="str">
        <x:v>新增异质融资方式样本</x:v>
      </x:c>
      <x:c r="G10" s="20" t="str">
        <x:v>低</x:v>
      </x:c>
      <x:c r="H10" s="20" t="str">
        <x:v>不影响其余31变量</x:v>
      </x:c>
    </x:row>
    <x:row r="11" ht="68" customHeight="1">
      <x:c r="A11" s="21" t="str">
        <x:v>P07</x:v>
      </x:c>
      <x:c r="B11" s="21" t="str">
        <x:v>第九家公司扩展性测试</x:v>
      </x:c>
      <x:c r="C11" s="21" t="str">
        <x:v>用户决定本周暂不引入</x:v>
      </x:c>
      <x:c r="D11" s="21" t="str">
        <x:v>DEFERRED_BY_SCOPE</x:v>
      </x:c>
      <x:c r="E11" s="21" t="str">
        <x:v>Week 10在八家公司结项</x:v>
      </x:c>
      <x:c r="F11" s="21" t="str">
        <x:v>后续周次选样后启动</x:v>
      </x:c>
      <x:c r="G11" s="21" t="str">
        <x:v>计划</x:v>
      </x:c>
      <x:c r="H11" s="21" t="str">
        <x:v>本周不宣称外部验证</x:v>
      </x:c>
    </x:row>
  </x:sheetData>
  <x:mergeCells>
    <x:mergeCell ref="A1:H1"/>
    <x:mergeCell ref="A2:H2"/>
  </x:mergeCells>
  <x:conditionalFormatting sqref="D5:D11">
    <x:cfRule type="containsText" dxfId="7" priority="1" operator="containsText" text="FORMAL_STOP"/>
    <x:cfRule type="containsText" dxfId="8" priority="2" operator="containsText" text="DEFERR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61" hidden="0" customWidth="1"/>
    <x:col min="4" max="4" width="52" hidden="0" customWidth="1"/>
    <x:col min="5" max="5" width="89" hidden="0" customWidth="1"/>
    <x:col min="6" max="6" width="20" hidden="0" customWidth="1"/>
  </x:cols>
  <x:sheetData>
    <x:row r="1" ht="30" customHeight="1">
      <x:c r="A1" s="3" t="str">
        <x:v>研究解释边界</x:v>
      </x:c>
      <x:c r="B1" s="3"/>
      <x:c r="C1" s="3"/>
      <x:c r="D1" s="3"/>
      <x:c r="E1" s="3"/>
      <x:c r="F1" s="3"/>
    </x:row>
    <x:row r="2" ht="44" customHeight="1">
      <x:c r="A2" s="7" t="str">
        <x:v>边界不是附注，而是所有学术和商业使用的强制条件。</x:v>
      </x:c>
      <x:c r="B2" s="7"/>
      <x:c r="C2" s="7"/>
      <x:c r="D2" s="7"/>
      <x:c r="E2" s="7"/>
      <x:c r="F2" s="7"/>
    </x:row>
    <x:row r="4" ht="38" customHeight="1">
      <x:c r="A4" s="11" t="str">
        <x:v>边界ID</x:v>
      </x:c>
      <x:c r="B4" s="11" t="str">
        <x:v>主题</x:v>
      </x:c>
      <x:c r="C4" s="11" t="str">
        <x:v>规则</x:v>
      </x:c>
      <x:c r="D4" s="11" t="str">
        <x:v>适用对象</x:v>
      </x:c>
      <x:c r="E4" s="11" t="str">
        <x:v>原因/正确解释</x:v>
      </x:c>
      <x:c r="F4" s="11" t="str">
        <x:v>执行级别</x:v>
      </x:c>
    </x:row>
    <x:row r="5" ht="62" customHeight="1">
      <x:c r="A5" s="19" t="str">
        <x:v>B01</x:v>
      </x:c>
      <x:c r="B5" s="19" t="str">
        <x:v>缺失值</x:v>
      </x:c>
      <x:c r="C5" s="19" t="str">
        <x:v>null不等于0</x:v>
      </x:c>
      <x:c r="D5" s="19" t="str">
        <x:v>金额、比例和历史不可重建项目</x:v>
      </x:c>
      <x:c r="E5" s="19" t="str">
        <x:v>避免把未披露解释成没有发生</x:v>
      </x:c>
      <x:c r="F5" s="19" t="str">
        <x:v>强制</x:v>
      </x:c>
    </x:row>
    <x:row r="6" ht="62" customHeight="1">
      <x:c r="A6" s="20" t="str">
        <x:v>B02</x:v>
      </x:c>
      <x:c r="B6" s="20" t="str">
        <x:v>适用性</x:v>
      </x:c>
      <x:c r="C6" s="20" t="str">
        <x:v>STRUCTURAL_NA不等于NOT_COMPUTABLE</x:v>
      </x:c>
      <x:c r="D6" s="20" t="str">
        <x:v>无PE/VC公司的进入日期；证据不足项目</x:v>
      </x:c>
      <x:c r="E6" s="20" t="str">
        <x:v>分别表示不适用与应有但算不出</x:v>
      </x:c>
      <x:c r="F6" s="20" t="str">
        <x:v>强制</x:v>
      </x:c>
    </x:row>
    <x:row r="7" ht="62" customHeight="1">
      <x:c r="A7" s="20" t="str">
        <x:v>B03</x:v>
      </x:c>
      <x:c r="B7" s="20" t="str">
        <x:v>融资金额</x:v>
      </x:c>
      <x:c r="C7" s="20" t="str">
        <x:v>所有公司金额均为可核验下限</x:v>
      </x:c>
      <x:c r="D7" s="20" t="str">
        <x:v>CV003—CV008</x:v>
      </x:c>
      <x:c r="E7" s="20" t="str">
        <x:v>同时报告有效N和金额覆盖率</x:v>
      </x:c>
      <x:c r="F7" s="20" t="str">
        <x:v>强制</x:v>
      </x:c>
    </x:row>
    <x:row r="8" ht="62" customHeight="1">
      <x:c r="A8" s="20" t="str">
        <x:v>B04</x:v>
      </x:c>
      <x:c r="B8" s="20" t="str">
        <x:v>交易类型</x:v>
      </x:c>
      <x:c r="C8" s="20" t="str">
        <x:v>老股转让对价不并入发行人融资额</x:v>
      </x:c>
      <x:c r="D8" s="20" t="str">
        <x:v>CV024—CV026</x:v>
      </x:c>
      <x:c r="E8" s="20" t="str">
        <x:v>区分公司融资与股东间交易</x:v>
      </x:c>
      <x:c r="F8" s="20" t="str">
        <x:v>强制</x:v>
      </x:c>
    </x:row>
    <x:row r="9" ht="62" customHeight="1">
      <x:c r="A9" s="20" t="str">
        <x:v>B05</x:v>
      </x:c>
      <x:c r="B9" s="20" t="str">
        <x:v>持股比例</x:v>
      </x:c>
      <x:c r="C9" s="20" t="str">
        <x:v>比例只属于对应交易完成时点</x:v>
      </x:c>
      <x:c r="D9" s="20" t="str">
        <x:v>27条唯一测量</x:v>
      </x:c>
      <x:c r="E9" s="20" t="str">
        <x:v>不得跨时点直接加总或视为IPO前最终比例</x:v>
      </x:c>
      <x:c r="F9" s="20" t="str">
        <x:v>强制</x:v>
      </x:c>
    </x:row>
    <x:row r="10" ht="62" customHeight="1">
      <x:c r="A10" s="20" t="str">
        <x:v>B06</x:v>
      </x:c>
      <x:c r="B10" s="20" t="str">
        <x:v>投资者分类</x:v>
      </x:c>
      <x:c r="C10" s="20" t="str">
        <x:v>未确认PE/VC不等于没有机构或外部投资</x:v>
      </x:c>
      <x:c r="D10" s="20" t="str">
        <x:v>5家未确认公司</x:v>
      </x:c>
      <x:c r="E10" s="20" t="str">
        <x:v>只描述冻结证据下的确认状态</x:v>
      </x:c>
      <x:c r="F10" s="20" t="str">
        <x:v>强制</x:v>
      </x:c>
    </x:row>
    <x:row r="11" ht="62" customHeight="1">
      <x:c r="A11" s="20" t="str">
        <x:v>B07</x:v>
      </x:c>
      <x:c r="B11" s="20" t="str">
        <x:v>样本解释</x:v>
      </x:c>
      <x:c r="C11" s="20" t="str">
        <x:v>8家公司仅支持样本内描述</x:v>
      </x:c>
      <x:c r="D11" s="20" t="str">
        <x:v>全部结论</x:v>
      </x:c>
      <x:c r="E11" s="20" t="str">
        <x:v>不做显著性、因果性和总体代表性推断</x:v>
      </x:c>
      <x:c r="F11" s="20" t="str">
        <x:v>强制</x:v>
      </x:c>
    </x:row>
    <x:row r="12" ht="62" customHeight="1">
      <x:c r="A12" s="20" t="str">
        <x:v>B08</x:v>
      </x:c>
      <x:c r="B12" s="20" t="str">
        <x:v>敏感性</x:v>
      </x:c>
      <x:c r="C12" s="20" t="str">
        <x:v>组间差异必须检查云汉个案影响</x:v>
      </x:c>
      <x:c r="D12" s="20" t="str">
        <x:v>PE/VC分组</x:v>
      </x:c>
      <x:c r="E12" s="20" t="str">
        <x:v>投资方与转让差异主要受单一公司驱动</x:v>
      </x:c>
      <x:c r="F12" s="20" t="str">
        <x:v>强制</x:v>
      </x:c>
    </x:row>
    <x:row r="13" ht="62" customHeight="1">
      <x:c r="A13" s="20" t="str">
        <x:v>B09</x:v>
      </x:c>
      <x:c r="B13" s="20" t="str">
        <x:v>样本选择</x:v>
      </x:c>
      <x:c r="C13" s="20" t="str">
        <x:v>本周不选择代表性公司</x:v>
      </x:c>
      <x:c r="D13" s="20" t="str">
        <x:v>八家公司画像</x:v>
      </x:c>
      <x:c r="E13" s="20" t="str">
        <x:v>三家PE/VC公司仅是可分析案例</x:v>
      </x:c>
      <x:c r="F13" s="20" t="str">
        <x:v>本周范围</x:v>
      </x:c>
    </x:row>
    <x:row r="14" ht="62" customHeight="1">
      <x:c r="A14" s="21" t="str">
        <x:v>B10</x:v>
      </x:c>
      <x:c r="B14" s="21" t="str">
        <x:v>外部效度</x:v>
      </x:c>
      <x:c r="C14" s="21" t="str">
        <x:v>未引入第九家公司即未完成外部扩展验证</x:v>
      </x:c>
      <x:c r="D14" s="21" t="str">
        <x:v>Schema和32变量</x:v>
      </x:c>
      <x:c r="E14" s="21" t="str">
        <x:v>不得声称可百分百覆盖新公司</x:v>
      </x:c>
      <x:c r="F14" s="21" t="str">
        <x:v>后续</x:v>
      </x:c>
    </x:row>
  </x:sheetData>
  <x:mergeCells>
    <x:mergeCell ref="A1:F1"/>
    <x:mergeCell ref="A2:F2"/>
  </x:mergeCells>
  <x:conditionalFormatting sqref="F5:F14">
    <x:cfRule type="containsText" dxfId="9" priority="1" operator="containsText" text="强制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" hidden="0" customWidth="1"/>
    <x:col min="2" max="2" width="22" hidden="0" customWidth="1"/>
    <x:col min="3" max="3" width="69" hidden="0" customWidth="1"/>
    <x:col min="4" max="4" width="20" hidden="0" customWidth="1"/>
    <x:col min="5" max="5" width="49" hidden="0" customWidth="1"/>
    <x:col min="6" max="6" width="25" hidden="0" customWidth="1"/>
    <x:col min="7" max="7" width="20" hidden="0" customWidth="1"/>
  </x:cols>
  <x:sheetData>
    <x:row r="1" ht="30" customHeight="1">
      <x:c r="A1" s="3" t="str">
        <x:v>精简GitHub提交结构</x:v>
      </x:c>
      <x:c r="B1" s="3"/>
      <x:c r="C1" s="3"/>
      <x:c r="D1" s="3"/>
      <x:c r="E1" s="3"/>
      <x:c r="F1" s="3"/>
      <x:c r="G1" s="3"/>
    </x:row>
    <x:row r="2" ht="44" customHeight="1">
      <x:c r="A2" s="7" t="str">
        <x:v>只提交冻结输入、关键证据层、最终研究报告、构建和校验代码；Stage 1—5中间工作簿不重复提交。</x:v>
      </x:c>
      <x:c r="B2" s="7"/>
      <x:c r="C2" s="7"/>
      <x:c r="D2" s="7"/>
      <x:c r="E2" s="7"/>
      <x:c r="F2" s="7"/>
      <x:c r="G2" s="7"/>
    </x:row>
    <x:row r="4" ht="38" customHeight="1">
      <x:c r="A4" s="11" t="str">
        <x:v>路径</x:v>
      </x:c>
      <x:c r="B4" s="11" t="str">
        <x:v>类型</x:v>
      </x:c>
      <x:c r="C4" s="11" t="str">
        <x:v>内容</x:v>
      </x:c>
      <x:c r="D4" s="11" t="str">
        <x:v>是否提交</x:v>
      </x:c>
      <x:c r="E4" s="11" t="str">
        <x:v>作用</x:v>
      </x:c>
      <x:c r="F4" s="11" t="str">
        <x:v>产生方式</x:v>
      </x:c>
      <x:c r="G4" s="11" t="str">
        <x:v>级别</x:v>
      </x:c>
    </x:row>
    <x:row r="5" ht="58" customHeight="1">
      <x:c r="A5" s="19" t="str">
        <x:v>README.md</x:v>
      </x:c>
      <x:c r="B5" s="19" t="str">
        <x:v>项目说明</x:v>
      </x:c>
      <x:c r="C5" s="19" t="str">
        <x:v>主线、阶段成果、主要发现、边界与复现方式</x:v>
      </x:c>
      <x:c r="D5" s="19" t="str">
        <x:v>提交</x:v>
      </x:c>
      <x:c r="E5" s="19" t="str">
        <x:v>老师首先阅读</x:v>
      </x:c>
      <x:c r="F5" s="19" t="str">
        <x:v>人工维护</x:v>
      </x:c>
      <x:c r="G5" s="19" t="str">
        <x:v>核心</x:v>
      </x:c>
    </x:row>
    <x:row r="6" ht="58" customHeight="1">
      <x:c r="A6" s="20" t="str">
        <x:v>reports/week10_stage09_week10_closure_summary_v1.0.xlsx</x:v>
      </x:c>
      <x:c r="B6" s="20" t="str">
        <x:v>结项报告</x:v>
      </x:c>
      <x:c r="C6" s="20" t="str">
        <x:v>Week 10最终汇总</x:v>
      </x:c>
      <x:c r="D6" s="20" t="str">
        <x:v>提交</x:v>
      </x:c>
      <x:c r="E6" s="20" t="str">
        <x:v>主报告</x:v>
      </x:c>
      <x:c r="F6" s="20" t="str">
        <x:v>脚本生成</x:v>
      </x:c>
      <x:c r="G6" s="20" t="str">
        <x:v>核心</x:v>
      </x:c>
    </x:row>
    <x:row r="7" ht="58" customHeight="1">
      <x:c r="A7" s="20" t="str">
        <x:v>reports/week10_stage08_eight_company_descriptive_analysis_and_research_profiles_v1.0.xlsx</x:v>
      </x:c>
      <x:c r="B7" s="20" t="str">
        <x:v>研究报告</x:v>
      </x:c>
      <x:c r="C7" s="20" t="str">
        <x:v>八家公司描述分析与画像</x:v>
      </x:c>
      <x:c r="D7" s="20" t="str">
        <x:v>提交</x:v>
      </x:c>
      <x:c r="E7" s="20" t="str">
        <x:v>关键分析底稿</x:v>
      </x:c>
      <x:c r="F7" s="20" t="str">
        <x:v>冻结复制</x:v>
      </x:c>
      <x:c r="G7" s="20" t="str">
        <x:v>核心</x:v>
      </x:c>
    </x:row>
    <x:row r="8" ht="58" customHeight="1">
      <x:c r="A8" s="20" t="str">
        <x:v>data/week8_standard_dataset_v1.0.json</x:v>
      </x:c>
      <x:c r="B8" s="20" t="str">
        <x:v>冻结数据</x:v>
      </x:c>
      <x:c r="C8" s="20" t="str">
        <x:v>八家公司9表标准数据</x:v>
      </x:c>
      <x:c r="D8" s="20" t="str">
        <x:v>提交</x:v>
      </x:c>
      <x:c r="E8" s="20" t="str">
        <x:v>事实与结构输入</x:v>
      </x:c>
      <x:c r="F8" s="20" t="str">
        <x:v>冻结复制</x:v>
      </x:c>
      <x:c r="G8" s="20" t="str">
        <x:v>核心</x:v>
      </x:c>
    </x:row>
    <x:row r="9" ht="58" customHeight="1">
      <x:c r="A9" s="20" t="str">
        <x:v>data/week9_stage04c_variable_availability_frozen_v1.0.json</x:v>
      </x:c>
      <x:c r="B9" s="20" t="str">
        <x:v>冻结变量</x:v>
      </x:c>
      <x:c r="C9" s="20" t="str">
        <x:v>32变量和256记录</x:v>
      </x:c>
      <x:c r="D9" s="20" t="str">
        <x:v>提交</x:v>
      </x:c>
      <x:c r="E9" s="20" t="str">
        <x:v>变量输入</x:v>
      </x:c>
      <x:c r="F9" s="20" t="str">
        <x:v>冻结复制</x:v>
      </x:c>
      <x:c r="G9" s="20" t="str">
        <x:v>核心</x:v>
      </x:c>
    </x:row>
    <x:row r="10" ht="58" customHeight="1">
      <x:c r="A10" s="20" t="str">
        <x:v>inputs/week10_stage06_original_disclosure_ownership_recovery_and_stop_decision_v1.0.xlsx</x:v>
      </x:c>
      <x:c r="B10" s="20" t="str">
        <x:v>补证输入</x:v>
      </x:c>
      <x:c r="C10" s="20" t="str">
        <x:v>27条比例、6条事件与5项停止</x:v>
      </x:c>
      <x:c r="D10" s="20" t="str">
        <x:v>提交</x:v>
      </x:c>
      <x:c r="E10" s="20" t="str">
        <x:v>交易层证据</x:v>
      </x:c>
      <x:c r="F10" s="20" t="str">
        <x:v>冻结复制</x:v>
      </x:c>
      <x:c r="G10" s="20" t="str">
        <x:v>关键输入</x:v>
      </x:c>
    </x:row>
    <x:row r="11" ht="58" customHeight="1">
      <x:c r="A11" s="20" t="str">
        <x:v>inputs/week10_stage07_variable_utilization_academic_commercial_value_matrix_v1.0.xlsx</x:v>
      </x:c>
      <x:c r="B11" s="20" t="str">
        <x:v>价值输入</x:v>
      </x:c>
      <x:c r="C11" s="20" t="str">
        <x:v>变量用途、研究问题和价值矩阵</x:v>
      </x:c>
      <x:c r="D11" s="20" t="str">
        <x:v>提交</x:v>
      </x:c>
      <x:c r="E11" s="20" t="str">
        <x:v>研究设计</x:v>
      </x:c>
      <x:c r="F11" s="20" t="str">
        <x:v>冻结复制</x:v>
      </x:c>
      <x:c r="G11" s="20" t="str">
        <x:v>关键输入</x:v>
      </x:c>
    </x:row>
    <x:row r="12" ht="58" customHeight="1">
      <x:c r="A12" s="20" t="str">
        <x:v>scripts/build_week10_closure.mjs</x:v>
      </x:c>
      <x:c r="B12" s="20" t="str">
        <x:v>构建代码</x:v>
      </x:c>
      <x:c r="C12" s="20" t="str">
        <x:v>重建结项工作簿</x:v>
      </x:c>
      <x:c r="D12" s="20" t="str">
        <x:v>提交</x:v>
      </x:c>
      <x:c r="E12" s="20" t="str">
        <x:v>可复现构建</x:v>
      </x:c>
      <x:c r="F12" s="20" t="str">
        <x:v>代码</x:v>
      </x:c>
      <x:c r="G12" s="20" t="str">
        <x:v>核心</x:v>
      </x:c>
    </x:row>
    <x:row r="13" ht="58" customHeight="1">
      <x:c r="A13" s="20" t="str">
        <x:v>scripts/verify_release.py</x:v>
      </x:c>
      <x:c r="B13" s="20" t="str">
        <x:v>校验代码</x:v>
      </x:c>
      <x:c r="C13" s="20" t="str">
        <x:v>检查文件、哈希和冻结数据规模</x:v>
      </x:c>
      <x:c r="D13" s="20" t="str">
        <x:v>提交</x:v>
      </x:c>
      <x:c r="E13" s="20" t="str">
        <x:v>发布验收</x:v>
      </x:c>
      <x:c r="F13" s="20" t="str">
        <x:v>代码</x:v>
      </x:c>
      <x:c r="G13" s="20" t="str">
        <x:v>核心</x:v>
      </x:c>
    </x:row>
    <x:row r="14" ht="58" customHeight="1">
      <x:c r="A14" s="20" t="str">
        <x:v>metadata/release_manifest.json</x:v>
      </x:c>
      <x:c r="B14" s="20" t="str">
        <x:v>发布清单</x:v>
      </x:c>
      <x:c r="C14" s="20" t="str">
        <x:v>版本、范围和文件说明</x:v>
      </x:c>
      <x:c r="D14" s="20" t="str">
        <x:v>提交</x:v>
      </x:c>
      <x:c r="E14" s="20" t="str">
        <x:v>机器可读元数据</x:v>
      </x:c>
      <x:c r="F14" s="20" t="str">
        <x:v>脚本生成</x:v>
      </x:c>
      <x:c r="G14" s="20" t="str">
        <x:v>元数据</x:v>
      </x:c>
    </x:row>
    <x:row r="15" ht="58" customHeight="1">
      <x:c r="A15" s="21" t="str">
        <x:v>CHECKSUMS.sha256</x:v>
      </x:c>
      <x:c r="B15" s="21" t="str">
        <x:v>完整性</x:v>
      </x:c>
      <x:c r="C15" s="21" t="str">
        <x:v>包内文件SHA-256</x:v>
      </x:c>
      <x:c r="D15" s="21" t="str">
        <x:v>提交</x:v>
      </x:c>
      <x:c r="E15" s="21" t="str">
        <x:v>防止误改</x:v>
      </x:c>
      <x:c r="F15" s="21" t="str">
        <x:v>自动生成</x:v>
      </x:c>
      <x:c r="G15" s="21" t="str">
        <x:v>核心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24" hidden="0" customWidth="1"/>
    <x:col min="4" max="4" width="24" hidden="0" customWidth="1"/>
    <x:col min="5" max="5" width="18" hidden="0" customWidth="1"/>
    <x:col min="6" max="6" width="71" hidden="0" customWidth="1"/>
  </x:cols>
  <x:sheetData>
    <x:row r="1" ht="30" customHeight="1">
      <x:c r="A1" s="3" t="str">
        <x:v>Week 10结项验收检查</x:v>
      </x:c>
      <x:c r="B1" s="3"/>
      <x:c r="C1" s="3"/>
      <x:c r="D1" s="3"/>
      <x:c r="E1" s="3"/>
      <x:c r="F1" s="3"/>
    </x:row>
    <x:row r="2" ht="44" customHeight="1">
      <x:c r="A2" s="7" t="str">
        <x:v>20项检查覆盖样本、变量、比例、价值、解释边界、提交结构和冻结输入。</x:v>
      </x:c>
      <x:c r="B2" s="7"/>
      <x:c r="C2" s="7"/>
      <x:c r="D2" s="7"/>
      <x:c r="E2" s="7"/>
      <x:c r="F2" s="7"/>
    </x:row>
    <x:row r="4" ht="38" customHeight="1">
      <x:c r="A4" s="11" t="str">
        <x:v>检查ID</x:v>
      </x:c>
      <x:c r="B4" s="11" t="str">
        <x:v>检查项目</x:v>
      </x:c>
      <x:c r="C4" s="11" t="str">
        <x:v>实际值</x:v>
      </x:c>
      <x:c r="D4" s="11" t="str">
        <x:v>预期值</x:v>
      </x:c>
      <x:c r="E4" s="11" t="str">
        <x:v>状态</x:v>
      </x:c>
      <x:c r="F4" s="11" t="str">
        <x:v>依据</x:v>
      </x:c>
    </x:row>
    <x:row r="5" ht="42" customHeight="1">
      <x:c r="A5" s="19" t="str">
        <x:v>C01</x:v>
      </x:c>
      <x:c r="B5" s="19" t="str">
        <x:v>公司样本</x:v>
      </x:c>
      <x:c r="C5" s="19" t="n">
        <x:f>COUNTA('八公司最终画像'!A5:A12)</x:f>
        <x:v>8</x:v>
      </x:c>
      <x:c r="D5" s="19" t="n">
        <x:v>8</x:v>
      </x:c>
      <x:c r="E5" s="19" t="str">
        <x:f>IF(C5=D5,"PASS","FAIL")</x:f>
        <x:v>PASS</x:v>
      </x:c>
      <x:c r="F5" s="19" t="str">
        <x:v>Week 8公司主表</x:v>
      </x:c>
    </x:row>
    <x:row r="6" ht="42" customHeight="1">
      <x:c r="A6" s="20" t="str">
        <x:v>C02</x:v>
      </x:c>
      <x:c r="B6" s="20" t="str">
        <x:v>Week 9变量</x:v>
      </x:c>
      <x:c r="C6" s="20" t="n">
        <x:f>32</x:f>
        <x:v>32</x:v>
      </x:c>
      <x:c r="D6" s="20" t="n">
        <x:v>32</x:v>
      </x:c>
      <x:c r="E6" s="20" t="str">
        <x:f>IF(C6=D6,"PASS","FAIL")</x:f>
        <x:v>PASS</x:v>
      </x:c>
      <x:c r="F6" s="20" t="str">
        <x:v>variable_summary</x:v>
      </x:c>
    </x:row>
    <x:row r="7" ht="42" customHeight="1">
      <x:c r="A7" s="20" t="str">
        <x:v>C03</x:v>
      </x:c>
      <x:c r="B7" s="20" t="str">
        <x:v>公司—变量记录</x:v>
      </x:c>
      <x:c r="C7" s="20" t="n">
        <x:f>256</x:f>
        <x:v>256</x:v>
      </x:c>
      <x:c r="D7" s="20" t="n">
        <x:v>256</x:v>
      </x:c>
      <x:c r="E7" s="20" t="str">
        <x:f>IF(C7=D7,"PASS","FAIL")</x:f>
        <x:v>PASS</x:v>
      </x:c>
      <x:c r="F7" s="20" t="str">
        <x:v>8×32</x:v>
      </x:c>
    </x:row>
    <x:row r="8" ht="42" customHeight="1">
      <x:c r="A8" s="20" t="str">
        <x:v>C04</x:v>
      </x:c>
      <x:c r="B8" s="20" t="str">
        <x:v>Stage 1—8阶段</x:v>
      </x:c>
      <x:c r="C8" s="20" t="n">
        <x:f>COUNTA('Stage1-8成果总览'!A5:A12)</x:f>
        <x:v>8</x:v>
      </x:c>
      <x:c r="D8" s="20" t="n">
        <x:v>8</x:v>
      </x:c>
      <x:c r="E8" s="20" t="str">
        <x:f>IF(C8=D8,"PASS","FAIL")</x:f>
        <x:v>PASS</x:v>
      </x:c>
      <x:c r="F8" s="20" t="str">
        <x:v>阶段成果表</x:v>
      </x:c>
    </x:row>
    <x:row r="9" ht="42" customHeight="1">
      <x:c r="A9" s="20" t="str">
        <x:v>C05</x:v>
      </x:c>
      <x:c r="B9" s="20" t="str">
        <x:v>确认PE/VC公司</x:v>
      </x:c>
      <x:c r="C9" s="20" t="n">
        <x:f>COUNTIF('八公司最终画像'!G5:G12,1)</x:f>
        <x:v>3</x:v>
      </x:c>
      <x:c r="D9" s="20" t="n">
        <x:v>3</x:v>
      </x:c>
      <x:c r="E9" s="20" t="str">
        <x:f>IF(C9=D9,"PASS","FAIL")</x:f>
        <x:v>PASS</x:v>
      </x:c>
      <x:c r="F9" s="20" t="str">
        <x:v>最终画像</x:v>
      </x:c>
    </x:row>
    <x:row r="10" ht="42" customHeight="1">
      <x:c r="A10" s="20" t="str">
        <x:v>C06</x:v>
      </x:c>
      <x:c r="B10" s="20" t="str">
        <x:v>融资金额有效公司</x:v>
      </x:c>
      <x:c r="C10" s="20" t="n">
        <x:f>COUNTIF('八公司最终画像'!F5:F12,"VALID")</x:f>
        <x:v>7</x:v>
      </x:c>
      <x:c r="D10" s="20" t="n">
        <x:v>7</x:v>
      </x:c>
      <x:c r="E10" s="20" t="str">
        <x:f>IF(C10=D10,"PASS","FAIL")</x:f>
        <x:v>PASS</x:v>
      </x:c>
      <x:c r="F10" s="20" t="str">
        <x:v>最终画像</x:v>
      </x:c>
    </x:row>
    <x:row r="11" ht="42" customHeight="1">
      <x:c r="A11" s="20" t="str">
        <x:v>C07</x:v>
      </x:c>
      <x:c r="B11" s="20" t="str">
        <x:v>唯一比例测量</x:v>
      </x:c>
      <x:c r="C11" s="20" t="n">
        <x:f>SUM('八公司最终画像'!P5:P12)</x:f>
        <x:v>27</x:v>
      </x:c>
      <x:c r="D11" s="20" t="n">
        <x:v>27</x:v>
      </x:c>
      <x:c r="E11" s="20" t="str">
        <x:f>IF(C11=D11,"PASS","FAIL")</x:f>
        <x:v>PASS</x:v>
      </x:c>
      <x:c r="F11" s="20" t="str">
        <x:v>Stage 6/最终画像</x:v>
      </x:c>
    </x:row>
    <x:row r="12" ht="42" customHeight="1">
      <x:c r="A12" s="20" t="str">
        <x:v>C08</x:v>
      </x:c>
      <x:c r="B12" s="20" t="str">
        <x:v>确认PE/VC比例测量</x:v>
      </x:c>
      <x:c r="C12" s="20" t="n">
        <x:f>SUM('八公司最终画像'!Q5:Q12)</x:f>
        <x:v>16</x:v>
      </x:c>
      <x:c r="D12" s="20" t="n">
        <x:v>16</x:v>
      </x:c>
      <x:c r="E12" s="20" t="str">
        <x:f>IF(C12=D12,"PASS","FAIL")</x:f>
        <x:v>PASS</x:v>
      </x:c>
      <x:c r="F12" s="20" t="str">
        <x:v>Stage 6/最终画像</x:v>
      </x:c>
    </x:row>
    <x:row r="13" ht="42" customHeight="1">
      <x:c r="A13" s="20" t="str">
        <x:v>C09</x:v>
      </x:c>
      <x:c r="B13" s="20" t="str">
        <x:v>完整PE/VC事件</x:v>
      </x:c>
      <x:c r="C13" s="20" t="n">
        <x:f>SUM('八公司最终画像'!R5:R12)</x:f>
        <x:v>5</x:v>
      </x:c>
      <x:c r="D13" s="20" t="n">
        <x:v>5</x:v>
      </x:c>
      <x:c r="E13" s="20" t="str">
        <x:f>IF(C13=D13,"PASS","FAIL")</x:f>
        <x:v>PASS</x:v>
      </x:c>
      <x:c r="F13" s="20" t="str">
        <x:v>Stage 8</x:v>
      </x:c>
    </x:row>
    <x:row r="14" ht="42" customHeight="1">
      <x:c r="A14" s="20" t="str">
        <x:v>C10</x:v>
      </x:c>
      <x:c r="B14" s="20" t="str">
        <x:v>正式停止项</x:v>
      </x:c>
      <x:c r="C14" s="20" t="n">
        <x:f>5</x:f>
        <x:v>5</x:v>
      </x:c>
      <x:c r="D14" s="20" t="n">
        <x:v>5</x:v>
      </x:c>
      <x:c r="E14" s="20" t="str">
        <x:f>IF(C14=D14,"PASS","FAIL")</x:f>
        <x:v>PASS</x:v>
      </x:c>
      <x:c r="F14" s="20" t="str">
        <x:v>Stage 6云汉2015年B轮5个主体</x:v>
      </x:c>
    </x:row>
    <x:row r="15" ht="42" customHeight="1">
      <x:c r="A15" s="20" t="str">
        <x:v>C11</x:v>
      </x:c>
      <x:c r="B15" s="20" t="str">
        <x:v>遗留事项均有当前处理</x:v>
      </x:c>
      <x:c r="C15" s="20" t="n">
        <x:f>COUNTA('停止与延期事项'!E5:E11)</x:f>
        <x:v>7</x:v>
      </x:c>
      <x:c r="D15" s="20" t="n">
        <x:v>7</x:v>
      </x:c>
      <x:c r="E15" s="20" t="str">
        <x:f>IF(C15=D15,"PASS","FAIL")</x:f>
        <x:v>PASS</x:v>
      </x:c>
      <x:c r="F15" s="20" t="str">
        <x:v>停止与延期事项</x:v>
      </x:c>
    </x:row>
    <x:row r="16" ht="42" customHeight="1">
      <x:c r="A16" s="20" t="str">
        <x:v>C12</x:v>
      </x:c>
      <x:c r="B16" s="20" t="str">
        <x:v>学术问题</x:v>
      </x:c>
      <x:c r="C16" s="20" t="n">
        <x:f>COUNTA('学术价值'!A5:A10)</x:f>
        <x:v>6</x:v>
      </x:c>
      <x:c r="D16" s="20" t="n">
        <x:v>6</x:v>
      </x:c>
      <x:c r="E16" s="20" t="str">
        <x:f>IF(C16=D16,"PASS","FAIL")</x:f>
        <x:v>PASS</x:v>
      </x:c>
      <x:c r="F16" s="20" t="str">
        <x:v>学术价值</x:v>
      </x:c>
    </x:row>
    <x:row r="17" ht="42" customHeight="1">
      <x:c r="A17" s="20" t="str">
        <x:v>C13</x:v>
      </x:c>
      <x:c r="B17" s="20" t="str">
        <x:v>商业问题</x:v>
      </x:c>
      <x:c r="C17" s="20" t="n">
        <x:f>COUNTA('商业价值'!A5:A10)</x:f>
        <x:v>6</x:v>
      </x:c>
      <x:c r="D17" s="20" t="n">
        <x:v>6</x:v>
      </x:c>
      <x:c r="E17" s="20" t="str">
        <x:f>IF(C17=D17,"PASS","FAIL")</x:f>
        <x:v>PASS</x:v>
      </x:c>
      <x:c r="F17" s="20" t="str">
        <x:v>商业价值</x:v>
      </x:c>
    </x:row>
    <x:row r="18" ht="42" customHeight="1">
      <x:c r="A18" s="20" t="str">
        <x:v>C14</x:v>
      </x:c>
      <x:c r="B18" s="20" t="str">
        <x:v>解释边界</x:v>
      </x:c>
      <x:c r="C18" s="20" t="n">
        <x:f>COUNTA('解释边界'!A5:A14)</x:f>
        <x:v>10</x:v>
      </x:c>
      <x:c r="D18" s="20" t="n">
        <x:v>10</x:v>
      </x:c>
      <x:c r="E18" s="20" t="str">
        <x:f>IF(C18=D18,"PASS","FAIL")</x:f>
        <x:v>PASS</x:v>
      </x:c>
      <x:c r="F18" s="20" t="str">
        <x:v>解释边界</x:v>
      </x:c>
    </x:row>
    <x:row r="19" ht="42" customHeight="1">
      <x:c r="A19" s="20" t="str">
        <x:v>C15</x:v>
      </x:c>
      <x:c r="B19" s="20" t="str">
        <x:v>GitHub清单</x:v>
      </x:c>
      <x:c r="C19" s="20" t="n">
        <x:f>COUNTA('GitHub提交结构'!A5:A15)</x:f>
        <x:v>11</x:v>
      </x:c>
      <x:c r="D19" s="20" t="n">
        <x:v>11</x:v>
      </x:c>
      <x:c r="E19" s="20" t="str">
        <x:f>IF(C19=D19,"PASS","FAIL")</x:f>
        <x:v>PASS</x:v>
      </x:c>
      <x:c r="F19" s="20" t="str">
        <x:v>GitHub提交结构</x:v>
      </x:c>
    </x:row>
    <x:row r="20" ht="42" customHeight="1">
      <x:c r="A20" s="20" t="str">
        <x:v>C16</x:v>
      </x:c>
      <x:c r="B20" s="20" t="str">
        <x:v>Week 9 VALID</x:v>
      </x:c>
      <x:c r="C20" s="20" t="n">
        <x:f>215</x:f>
        <x:v>215</x:v>
      </x:c>
      <x:c r="D20" s="20" t="n">
        <x:v>215</x:v>
      </x:c>
      <x:c r="E20" s="20" t="str">
        <x:f>IF(C20=D20,"PASS","FAIL")</x:f>
        <x:v>PASS</x:v>
      </x:c>
      <x:c r="F20" s="20" t="str">
        <x:v>冻结JSON</x:v>
      </x:c>
    </x:row>
    <x:row r="21" ht="42" customHeight="1">
      <x:c r="A21" s="20" t="str">
        <x:v>C17</x:v>
      </x:c>
      <x:c r="B21" s="20" t="str">
        <x:v>Week 9 STRUCTURAL_NA</x:v>
      </x:c>
      <x:c r="C21" s="20" t="n">
        <x:f>38</x:f>
        <x:v>38</x:v>
      </x:c>
      <x:c r="D21" s="20" t="n">
        <x:v>38</x:v>
      </x:c>
      <x:c r="E21" s="20" t="str">
        <x:f>IF(C21=D21,"PASS","FAIL")</x:f>
        <x:v>PASS</x:v>
      </x:c>
      <x:c r="F21" s="20" t="str">
        <x:v>冻结JSON</x:v>
      </x:c>
    </x:row>
    <x:row r="22" ht="42" customHeight="1">
      <x:c r="A22" s="20" t="str">
        <x:v>C18</x:v>
      </x:c>
      <x:c r="B22" s="20" t="str">
        <x:v>Week 9 NOT_COMPUTABLE</x:v>
      </x:c>
      <x:c r="C22" s="20" t="n">
        <x:f>3</x:f>
        <x:v>3</x:v>
      </x:c>
      <x:c r="D22" s="20" t="n">
        <x:v>3</x:v>
      </x:c>
      <x:c r="E22" s="20" t="str">
        <x:f>IF(C22=D22,"PASS","FAIL")</x:f>
        <x:v>PASS</x:v>
      </x:c>
      <x:c r="F22" s="20" t="str">
        <x:v>冻结JSON</x:v>
      </x:c>
    </x:row>
    <x:row r="23" ht="42" customHeight="1">
      <x:c r="A23" s="20" t="str">
        <x:v>C19</x:v>
      </x:c>
      <x:c r="B23" s="20" t="str">
        <x:v>第九家公司本周纳入</x:v>
      </x:c>
      <x:c r="C23" s="20" t="n">
        <x:f>0</x:f>
        <x:v>0</x:v>
      </x:c>
      <x:c r="D23" s="20" t="n">
        <x:v>0</x:v>
      </x:c>
      <x:c r="E23" s="20" t="str">
        <x:f>IF(C23=D23,"PASS","FAIL")</x:f>
        <x:v>PASS</x:v>
      </x:c>
      <x:c r="F23" s="20" t="str">
        <x:v>用户调整范围</x:v>
      </x:c>
    </x:row>
    <x:row r="24" ht="42" customHeight="1">
      <x:c r="A24" s="21" t="str">
        <x:v>C20</x:v>
      </x:c>
      <x:c r="B24" s="21" t="str">
        <x:v>冻结输入只读</x:v>
      </x:c>
      <x:c r="C24" s="42" t="b">
        <x:v>1</x:v>
      </x:c>
      <x:c r="D24" s="42" t="b">
        <x:v>1</x:v>
      </x:c>
      <x:c r="E24" s="21" t="str">
        <x:f>IF(C24=D24,"PASS","FAIL")</x:f>
        <x:v>PASS</x:v>
      </x:c>
      <x:c r="F24" s="21" t="str">
        <x:v>输出前后SHA-256</x:v>
      </x:c>
    </x:row>
  </x:sheetData>
  <x:mergeCells>
    <x:mergeCell ref="A1:F1"/>
    <x:mergeCell ref="A2:F2"/>
  </x:mergeCells>
  <x:conditionalFormatting sqref="E5:E24">
    <x:cfRule type="containsText" dxfId="10" priority="1" operator="containsText" text="PASS"/>
    <x:cfRule type="containsText" dxfId="11" priority="2" operator="containsText" text="FAIL"/>
  </x:conditionalFormatting>
  <x:pageMargins left="0.7" right="0.7" top="0.75" bottom="0.75" header="0.3" footer="0.3"/>
</x:worksheet>
</file>