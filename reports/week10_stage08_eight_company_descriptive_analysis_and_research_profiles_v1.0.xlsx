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15209908444d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阶段说明" sheetId="1" r:id="R3fc206b255fc4fd2"/>
    <x:sheet xmlns:r="http://schemas.openxmlformats.org/officeDocument/2006/relationships" name="样本与分析口径" sheetId="2" r:id="Rcf62c1d520ae4e17"/>
    <x:sheet xmlns:r="http://schemas.openxmlformats.org/officeDocument/2006/relationships" name="八公司研究画像" sheetId="3" r:id="Rfe9b7b442dd74593"/>
    <x:sheet xmlns:r="http://schemas.openxmlformats.org/officeDocument/2006/relationships" name="融资规模与节奏" sheetId="4" r:id="R984f29fbbd6143a9"/>
    <x:sheet xmlns:r="http://schemas.openxmlformats.org/officeDocument/2006/relationships" name="PEVC参与与进入" sheetId="5" r:id="R500eaafe59d848bb"/>
    <x:sheet xmlns:r="http://schemas.openxmlformats.org/officeDocument/2006/relationships" name="融资与老股转让" sheetId="6" r:id="R697acffec7814308"/>
    <x:sheet xmlns:r="http://schemas.openxmlformats.org/officeDocument/2006/relationships" name="披露质量与证据" sheetId="7" r:id="R41f4569897674a62"/>
    <x:sheet xmlns:r="http://schemas.openxmlformats.org/officeDocument/2006/relationships" name="PEVC分组比较" sheetId="8" r:id="R832df472ed7644b0"/>
    <x:sheet xmlns:r="http://schemas.openxmlformats.org/officeDocument/2006/relationships" name="云汉个案敏感性" sheetId="9" r:id="R90b59e672d614ee5"/>
    <x:sheet xmlns:r="http://schemas.openxmlformats.org/officeDocument/2006/relationships" name="三家PEVC事件案例" sheetId="10" r:id="R7953ae218a694935"/>
    <x:sheet xmlns:r="http://schemas.openxmlformats.org/officeDocument/2006/relationships" name="八公司文字画像" sheetId="11" r:id="R755e22e3784d49e6"/>
    <x:sheet xmlns:r="http://schemas.openxmlformats.org/officeDocument/2006/relationships" name="样本内研究发现" sheetId="12" r:id="R0333abfabffa4466"/>
    <x:sheet xmlns:r="http://schemas.openxmlformats.org/officeDocument/2006/relationships" name="下一阶段闸门" sheetId="13" r:id="Re9afdb12d7ad4e09"/>
    <x:sheet xmlns:r="http://schemas.openxmlformats.org/officeDocument/2006/relationships" name="验收检查" sheetId="14" r:id="R2e0a7de00d3f47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#,##0.00"/>
    <x:numFmt numFmtId="202" formatCode="0.0%"/>
    <x:numFmt numFmtId="203" formatCode="0.000"/>
    <x:numFmt numFmtId="204" formatCode="0.00"/>
    <x:numFmt numFmtId="205" formatCode="0.0000%"/>
  </x:numFmts>
  <x:fonts count="7">
    <x:font>
      <x:sz val="11"/>
      <x:name val="Carlito"/>
    </x:font>
    <x:font>
      <x:b/>
      <x:sz val="11"/>
      <x:color rgb="FFFFFFFF"/>
      <x:name val="SimSun"/>
    </x:font>
    <x:font>
      <x:i/>
      <x:sz val="11"/>
      <x:color rgb="FF4B5563"/>
      <x:name val="SimSun"/>
    </x:font>
    <x:font>
      <x:sz val="11"/>
      <x:color rgb="FF111827"/>
      <x:name val="SimSun"/>
    </x:font>
    <x:font>
      <x:b/>
      <x:sz val="11"/>
      <x:color rgb="FF9C5700"/>
      <x:name val="SimSun"/>
    </x:font>
    <x:font>
      <x:sz val="11"/>
      <x:color rgb="FF008000"/>
      <x:name val="SimSun"/>
    </x:font>
    <x:font>
      <x:b/>
      <x:sz val="11"/>
      <x:color rgb="FF0000FF"/>
      <x:name val="SimSun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147D75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vertical="top" wrapText="1"/>
    </x:xf>
    <x:xf numFmtId="200" fontId="3" fillId="0" borderId="2" xfId="0" applyNumberFormat="1" applyFont="1" applyFill="1" applyBorder="1" applyAlignment="1">
      <x:alignment vertical="top" wrapText="1"/>
    </x:xf>
    <x:xf numFmtId="200" fontId="3" fillId="0" borderId="3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201" fontId="5" fillId="0" borderId="2" xfId="0" applyNumberFormat="1" applyFont="1" applyFill="1" applyBorder="1" applyAlignment="1">
      <x:alignment vertical="top" wrapText="1"/>
    </x:xf>
    <x:xf numFmtId="201" fontId="5" fillId="0" borderId="3" xfId="0" applyNumberFormat="1" applyFont="1" applyFill="1" applyBorder="1" applyAlignment="1">
      <x:alignment vertical="top" wrapText="1"/>
    </x:xf>
    <x:xf numFmtId="202" fontId="5" fillId="0" borderId="1" xfId="0" applyNumberFormat="1" applyFont="1" applyFill="1" applyBorder="1" applyAlignment="1">
      <x:alignment vertical="top" wrapText="1"/>
    </x:xf>
    <x:xf numFmtId="202" fontId="5" fillId="0" borderId="2" xfId="0" applyNumberFormat="1" applyFont="1" applyFill="1" applyBorder="1" applyAlignment="1">
      <x:alignment vertical="top" wrapText="1"/>
    </x:xf>
    <x:xf numFmtId="202" fontId="5" fillId="0" borderId="3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201" fontId="3" fillId="0" borderId="2" xfId="0" applyNumberFormat="1" applyFont="1" applyFill="1" applyBorder="1" applyAlignment="1">
      <x:alignment vertical="top" wrapText="1"/>
    </x:xf>
    <x:xf numFmtId="201" fontId="3" fillId="0" borderId="3" xfId="0" applyNumberFormat="1" applyFont="1" applyFill="1" applyBorder="1" applyAlignment="1">
      <x:alignment vertical="top" wrapText="1"/>
    </x:xf>
    <x:xf numFmtId="202" fontId="3" fillId="0" borderId="1" xfId="0" applyNumberFormat="1" applyFont="1" applyFill="1" applyBorder="1" applyAlignment="1">
      <x:alignment vertical="top" wrapText="1"/>
    </x:xf>
    <x:xf numFmtId="202" fontId="3" fillId="0" borderId="2" xfId="0" applyNumberFormat="1" applyFont="1" applyFill="1" applyBorder="1" applyAlignment="1">
      <x:alignment vertical="top" wrapText="1"/>
    </x:xf>
    <x:xf numFmtId="202" fontId="3" fillId="0" borderId="3" xfId="0" applyNumberFormat="1" applyFont="1" applyFill="1" applyBorder="1" applyAlignment="1">
      <x:alignment vertical="top" wrapText="1"/>
    </x:xf>
    <x:xf numFmtId="203" fontId="3" fillId="0" borderId="1" xfId="0" applyNumberFormat="1" applyFont="1" applyFill="1" applyBorder="1" applyAlignment="1">
      <x:alignment vertical="top" wrapText="1"/>
    </x:xf>
    <x:xf numFmtId="203" fontId="3" fillId="0" borderId="2" xfId="0" applyNumberFormat="1" applyFont="1" applyFill="1" applyBorder="1" applyAlignment="1">
      <x:alignment vertical="top" wrapText="1"/>
    </x:xf>
    <x:xf numFmtId="203" fontId="3" fillId="0" borderId="3" xfId="0" applyNumberFormat="1" applyFont="1" applyFill="1" applyBorder="1" applyAlignment="1">
      <x:alignment vertical="top" wrapText="1"/>
    </x:xf>
    <x:xf numFmtId="204" fontId="3" fillId="0" borderId="1" xfId="0" applyNumberFormat="1" applyFont="1" applyFill="1" applyBorder="1" applyAlignment="1">
      <x:alignment vertical="top" wrapText="1"/>
    </x:xf>
    <x:xf numFmtId="204" fontId="3" fillId="0" borderId="2" xfId="0" applyNumberFormat="1" applyFont="1" applyFill="1" applyBorder="1" applyAlignment="1">
      <x:alignment vertical="top" wrapText="1"/>
    </x:xf>
    <x:xf numFmtId="204" fontId="3" fillId="0" borderId="3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/>
    <x:xf numFmtId="200" fontId="6" fillId="5" borderId="0" xfId="0" applyNumberFormat="1" applyFont="1" applyFill="1" applyBorder="1"/>
    <x:xf numFmtId="205" fontId="3" fillId="0" borderId="1" xfId="0" applyNumberFormat="1" applyFont="1" applyFill="1" applyBorder="1" applyAlignment="1">
      <x:alignment vertical="top" wrapText="1"/>
    </x:xf>
    <x:xf numFmtId="205" fontId="3" fillId="0" borderId="2" xfId="0" applyNumberFormat="1" applyFont="1" applyFill="1" applyBorder="1" applyAlignment="1">
      <x:alignment vertical="top" wrapText="1"/>
    </x:xf>
    <x:xf numFmtId="205" fontId="3" fillId="0" borderId="3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4"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b/>
        <x:color rgb="FF4B5563"/>
      </x:font>
      <x:fill>
        <x:patternFill patternType="solid">
          <x:bgColor rgb="FFF3F4F6"/>
        </x:patternFill>
      </x:fill>
    </x:dxf>
    <x:dxf>
      <x:font>
        <x:b/>
        <x:color rgb="FF4B5563"/>
      </x:font>
      <x:fill>
        <x:patternFill patternType="solid">
          <x:bgColor rgb="FFF3F4F6"/>
        </x:patternFill>
      </x:fill>
    </x:dxf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b/>
        <x:color rgb="FF4B5563"/>
      </x:font>
      <x:fill>
        <x:patternFill patternType="solid">
          <x:bgColor rgb="FFF3F4F6"/>
        </x:patternFill>
      </x:fill>
    </x:dxf>
    <x:dxf>
      <x:font>
        <x:b/>
        <x:color rgb="FF2E7D32"/>
      </x:font>
      <x:fill>
        <x:patternFill patternType="solid">
          <x:bgColor rgb="FFD9EAD3"/>
        </x:patternFill>
      </x:fill>
    </x:dxf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b/>
        <x:color rgb="FF2E7D32"/>
      </x:font>
      <x:fill>
        <x:patternFill patternType="solid">
          <x:bgColor rgb="FFD9EAD3"/>
        </x:patternFill>
      </x:fill>
    </x:dxf>
    <x:dxf>
      <x:font>
        <x:b/>
        <x:color rgb="FF5B21B6"/>
      </x:font>
      <x:fill>
        <x:patternFill patternType="solid">
          <x:bgColor rgb="FFE4DFEC"/>
        </x:patternFill>
      </x:fill>
    </x:dxf>
    <x:dxf>
      <x:font>
        <x:b/>
        <x:color rgb="FF4B5563"/>
      </x:font>
      <x:fill>
        <x:patternFill patternType="solid">
          <x:bgColor rgb="FFF3F4F6"/>
        </x:patternFill>
      </x:fill>
    </x:dxf>
    <x:dxf>
      <x:font>
        <x:b/>
        <x:color rgb="FF2E7D32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49bb1b7fbf47fc" /><Relationship Type="http://schemas.openxmlformats.org/officeDocument/2006/relationships/theme" Target="/xl/theme/theme1.xml" Id="Rd76cb97d4f074b02" /><Relationship Type="http://schemas.microsoft.com/office/2022/11/relationships/FeaturePropertyBag" Target="/xl/featurePropertyBag/featurePropertyBag.xml" Id="R11b5c469a49d42b3" /><Relationship Type="http://schemas.openxmlformats.org/officeDocument/2006/relationships/sharedStrings" Target="/xl/sharedStrings.xml" Id="Rf52f21e393a64e69" /><Relationship Type="http://schemas.openxmlformats.org/officeDocument/2006/relationships/worksheet" Target="/xl/worksheets/sheet1.xml" Id="R3fc206b255fc4fd2" /><Relationship Type="http://schemas.openxmlformats.org/officeDocument/2006/relationships/worksheet" Target="/xl/worksheets/sheet2.xml" Id="Rcf62c1d520ae4e17" /><Relationship Type="http://schemas.openxmlformats.org/officeDocument/2006/relationships/worksheet" Target="/xl/worksheets/sheet3.xml" Id="Rfe9b7b442dd74593" /><Relationship Type="http://schemas.openxmlformats.org/officeDocument/2006/relationships/worksheet" Target="/xl/worksheets/sheet4.xml" Id="R984f29fbbd6143a9" /><Relationship Type="http://schemas.openxmlformats.org/officeDocument/2006/relationships/worksheet" Target="/xl/worksheets/sheet5.xml" Id="R500eaafe59d848bb" /><Relationship Type="http://schemas.openxmlformats.org/officeDocument/2006/relationships/worksheet" Target="/xl/worksheets/sheet6.xml" Id="R697acffec7814308" /><Relationship Type="http://schemas.openxmlformats.org/officeDocument/2006/relationships/worksheet" Target="/xl/worksheets/sheet7.xml" Id="R41f4569897674a62" /><Relationship Type="http://schemas.openxmlformats.org/officeDocument/2006/relationships/worksheet" Target="/xl/worksheets/sheet8.xml" Id="R832df472ed7644b0" /><Relationship Type="http://schemas.openxmlformats.org/officeDocument/2006/relationships/worksheet" Target="/xl/worksheets/sheet9.xml" Id="R90b59e672d614ee5" /><Relationship Type="http://schemas.openxmlformats.org/officeDocument/2006/relationships/worksheet" Target="/xl/worksheets/sheet10.xml" Id="R7953ae218a694935" /><Relationship Type="http://schemas.openxmlformats.org/officeDocument/2006/relationships/worksheet" Target="/xl/worksheets/sheet11.xml" Id="R755e22e3784d49e6" /><Relationship Type="http://schemas.openxmlformats.org/officeDocument/2006/relationships/worksheet" Target="/xl/worksheets/sheet12.xml" Id="R0333abfabffa4466" /><Relationship Type="http://schemas.openxmlformats.org/officeDocument/2006/relationships/worksheet" Target="/xl/worksheets/sheet13.xml" Id="Re9afdb12d7ad4e09" /><Relationship Type="http://schemas.openxmlformats.org/officeDocument/2006/relationships/worksheet" Target="/xl/worksheets/sheet14.xml" Id="R2e0a7de00d3f47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  <x:col min="7" max="7" width="29" hidden="0" customWidth="1"/>
    <x:col min="8" max="8" width="56" hidden="0" customWidth="1"/>
  </x:cols>
  <x:sheetData>
    <x:row r="1" ht="30" customHeight="1">
      <x:c r="A1" s="3" t="str">
        <x:v>Week 10 · Stage 8 八家公司描述分析与研究画像</x:v>
      </x:c>
      <x:c r="B1" s="3"/>
      <x:c r="C1" s="3"/>
      <x:c r="D1" s="3"/>
      <x:c r="E1" s="3"/>
      <x:c r="F1" s="3"/>
      <x:c r="G1" s="3"/>
      <x:c r="H1" s="3"/>
    </x:row>
    <x:row r="2" ht="44" customHeight="1">
      <x:c r="A2" s="7" t="str">
        <x:v>执行Stage 7既定分析模块：覆盖全部八家公司，比较PE/VC组，检查云汉个案影响，并形成三家公司交易事件案例。</x:v>
      </x:c>
      <x:c r="B2" s="7"/>
      <x:c r="C2" s="7"/>
      <x:c r="D2" s="7"/>
      <x:c r="E2" s="7"/>
      <x:c r="F2" s="7"/>
      <x:c r="G2" s="7"/>
      <x:c r="H2" s="7"/>
    </x:row>
    <x:row r="4" ht="38" customHeight="1">
      <x:c r="A4" s="11" t="str">
        <x:v>项目</x:v>
      </x:c>
      <x:c r="B4" s="11" t="str">
        <x:v>结果</x:v>
      </x:c>
      <x:c r="C4" s="11" t="str">
        <x:v>项目</x:v>
      </x:c>
      <x:c r="D4" s="11" t="str">
        <x:v>结果</x:v>
      </x:c>
      <x:c r="E4" s="11" t="str">
        <x:v>项目</x:v>
      </x:c>
      <x:c r="F4" s="11" t="str">
        <x:v>结果</x:v>
      </x:c>
      <x:c r="G4" s="11" t="str">
        <x:v>项目</x:v>
      </x:c>
      <x:c r="H4" s="11" t="str">
        <x:v>结果</x:v>
      </x:c>
    </x:row>
    <x:row r="5" ht="48" customHeight="1">
      <x:c r="A5" s="19" t="str">
        <x:v>公司</x:v>
      </x:c>
      <x:c r="B5" s="19" t="n">
        <x:v>8</x:v>
      </x:c>
      <x:c r="C5" s="19" t="str">
        <x:v>已识别融资公司</x:v>
      </x:c>
      <x:c r="D5" s="19" t="n">
        <x:v>7</x:v>
      </x:c>
      <x:c r="E5" s="19" t="str">
        <x:v>融资金额有效公司</x:v>
      </x:c>
      <x:c r="F5" s="19" t="n">
        <x:v>7</x:v>
      </x:c>
      <x:c r="G5" s="19" t="str">
        <x:v>确认PE/VC公司</x:v>
      </x:c>
      <x:c r="H5" s="19" t="n">
        <x:v>3</x:v>
      </x:c>
    </x:row>
    <x:row r="6" ht="48" customHeight="1">
      <x:c r="A6" s="20" t="str">
        <x:v>未确认PE/VC公司</x:v>
      </x:c>
      <x:c r="B6" s="20" t="n">
        <x:v>5</x:v>
      </x:c>
      <x:c r="C6" s="20" t="str">
        <x:v>比例测量</x:v>
      </x:c>
      <x:c r="D6" s="20" t="n">
        <x:v>27</x:v>
      </x:c>
      <x:c r="E6" s="20" t="str">
        <x:v>确认PE/VC测量</x:v>
      </x:c>
      <x:c r="F6" s="20" t="n">
        <x:v>16</x:v>
      </x:c>
      <x:c r="G6" s="20" t="str">
        <x:v>完整PE/VC事件</x:v>
      </x:c>
      <x:c r="H6" s="20" t="n">
        <x:v>5</x:v>
      </x:c>
    </x:row>
    <x:row r="7" ht="48" customHeight="1">
      <x:c r="A7" s="20" t="str">
        <x:v>正式停止项</x:v>
      </x:c>
      <x:c r="B7" s="20" t="n">
        <x:v>5</x:v>
      </x:c>
      <x:c r="C7" s="20" t="str">
        <x:v>不可计算路径</x:v>
      </x:c>
      <x:c r="D7" s="20" t="n">
        <x:v>19</x:v>
      </x:c>
      <x:c r="E7" s="20" t="str">
        <x:v>八家公司画像</x:v>
      </x:c>
      <x:c r="F7" s="20" t="n">
        <x:v>8</x:v>
      </x:c>
      <x:c r="G7" s="20" t="str">
        <x:v>验收</x:v>
      </x:c>
      <x:c r="H7" s="20" t="str">
        <x:v>18项</x:v>
      </x:c>
    </x:row>
    <x:row r="8" ht="48" customHeight="1">
      <x:c r="A8" s="21" t="str">
        <x:v>核心方法</x:v>
      </x:c>
      <x:c r="B8" s="21" t="str">
        <x:v>样本内描述</x:v>
      </x:c>
      <x:c r="C8" s="21" t="str">
        <x:v>分组规模</x:v>
      </x:c>
      <x:c r="D8" s="21" t="str">
        <x:v>3家 vs 5家</x:v>
      </x:c>
      <x:c r="E8" s="21" t="str">
        <x:v>个案敏感性</x:v>
      </x:c>
      <x:c r="F8" s="21" t="str">
        <x:v>剔除云汉芯城</x:v>
      </x:c>
      <x:c r="G8" s="21" t="str">
        <x:v>下一阶段</x:v>
      </x:c>
      <x:c r="H8" s="21" t="str">
        <x:v>第九家公司盲测</x:v>
      </x:c>
    </x:row>
    <x:row r="10" ht="44" customHeight="1">
      <x:c r="A10" s="24" t="str">
        <x:v>结论：现有成果已经覆盖八家公司融资、PE/VC参与、老股转让和证据质量；三家确认PE/VC公司可以形成交易时点案例。PE/VC组均值较高，但云汉芯城对投资者数量和转让次数影响明显，因此分组差异只作研究假设。影石创新的0轮不能解释成没有融资；云汉金额下限只覆盖3/7轮。</x:v>
      </x:c>
      <x:c r="B10" s="24"/>
      <x:c r="C10" s="24"/>
      <x:c r="D10" s="24"/>
      <x:c r="E10" s="24"/>
      <x:c r="F10" s="24"/>
      <x:c r="G10" s="24"/>
      <x:c r="H10" s="24"/>
    </x:row>
    <x:row r="11" ht="44" customHeight="1">
      <x:c r="A11" s="24"/>
      <x:c r="B11" s="24"/>
      <x:c r="C11" s="24"/>
      <x:c r="D11" s="24"/>
      <x:c r="E11" s="24"/>
      <x:c r="F11" s="24"/>
      <x:c r="G11" s="24"/>
      <x:c r="H11" s="24"/>
    </x:row>
  </x:sheetData>
  <x:mergeCells>
    <x:mergeCell ref="A1:H1"/>
    <x:mergeCell ref="A2:H2"/>
    <x:mergeCell ref="A10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0" hidden="0" customWidth="1"/>
    <x:col min="3" max="3" width="55" hidden="0" customWidth="1"/>
    <x:col min="4" max="4" width="78" hidden="0" customWidth="1"/>
    <x:col min="5" max="5" width="83" hidden="0" customWidth="1"/>
    <x:col min="6" max="6" width="84" hidden="0" customWidth="1"/>
    <x:col min="7" max="7" width="31" hidden="0" customWidth="1"/>
  </x:cols>
  <x:sheetData>
    <x:row r="1" ht="30" customHeight="1">
      <x:c r="A1" s="3" t="str">
        <x:v>样本、变量和分析口径</x:v>
      </x:c>
      <x:c r="B1" s="3"/>
      <x:c r="C1" s="3"/>
      <x:c r="D1" s="3"/>
      <x:c r="E1" s="3"/>
      <x:c r="F1" s="3"/>
      <x:c r="G1" s="3"/>
    </x:row>
    <x:row r="2" ht="44" customHeight="1">
      <x:c r="A2" s="7" t="str">
        <x:v>公司层、交易层和证据层分别解释；不把融资、股权转让、持股比例或缺失状态混为一体。</x:v>
      </x:c>
      <x:c r="B2" s="7"/>
      <x:c r="C2" s="7"/>
      <x:c r="D2" s="7"/>
      <x:c r="E2" s="7"/>
      <x:c r="F2" s="7"/>
      <x:c r="G2" s="7"/>
    </x:row>
    <x:row r="4" ht="38" customHeight="1">
      <x:c r="A4" s="11" t="str">
        <x:v>口径</x:v>
      </x:c>
      <x:c r="B4" s="11" t="str">
        <x:v>输入</x:v>
      </x:c>
      <x:c r="C4" s="11" t="str">
        <x:v>样本</x:v>
      </x:c>
      <x:c r="D4" s="11" t="str">
        <x:v>可回答问题</x:v>
      </x:c>
      <x:c r="E4" s="11" t="str">
        <x:v>不支持</x:v>
      </x:c>
      <x:c r="F4" s="11" t="str">
        <x:v>缺失处理</x:v>
      </x:c>
      <x:c r="G4" s="11" t="str">
        <x:v>来源</x:v>
      </x:c>
    </x:row>
    <x:row r="5" ht="72" customHeight="1">
      <x:c r="A5" s="19" t="str">
        <x:v>公司层融资</x:v>
      </x:c>
      <x:c r="B5" s="19" t="str">
        <x:v>CV001—CV010</x:v>
      </x:c>
      <x:c r="C5" s="19" t="str">
        <x:v>8家公司；金额7家有效</x:v>
      </x:c>
      <x:c r="D5" s="19" t="str">
        <x:v>融资轮数、已知金额、节奏和覆盖率</x:v>
      </x:c>
      <x:c r="E5" s="19" t="str">
        <x:v>金额总体推断和公司优劣排序</x:v>
      </x:c>
      <x:c r="F5" s="19" t="str">
        <x:v>金额null保留；0轮需附历史状态</x:v>
      </x:c>
      <x:c r="G5" s="19" t="str">
        <x:v>Week 9冻结变量</x:v>
      </x:c>
    </x:row>
    <x:row r="6" ht="72" customHeight="1">
      <x:c r="A6" s="20" t="str">
        <x:v>公司层PE/VC</x:v>
      </x:c>
      <x:c r="B6" s="20" t="str">
        <x:v>CV011—CV019</x:v>
      </x:c>
      <x:c r="C6" s="20" t="str">
        <x:v>3家确认PE/VC；5家未确认</x:v>
      </x:c>
      <x:c r="D6" s="20" t="str">
        <x:v>主体数、参与轮数、首次进入和方式</x:v>
      </x:c>
      <x:c r="E6" s="20" t="str">
        <x:v>因果影响、总体代表性</x:v>
      </x:c>
      <x:c r="F6" s="20" t="str">
        <x:v>无PE/VC公司的进入时点为STRUCTURAL_NA</x:v>
      </x:c>
      <x:c r="G6" s="20" t="str">
        <x:v>Week 9冻结变量</x:v>
      </x:c>
    </x:row>
    <x:row r="7" ht="72" customHeight="1">
      <x:c r="A7" s="20" t="str">
        <x:v>交易层持股</x:v>
      </x:c>
      <x:c r="B7" s="20" t="str">
        <x:v>27条唯一测量、6条事件记录</x:v>
      </x:c>
      <x:c r="C7" s="20" t="str">
        <x:v>3家公司；5条完整事件</x:v>
      </x:c>
      <x:c r="D7" s="20" t="str">
        <x:v>同轮机构个体比例、确认PE/VC合计</x:v>
      </x:c>
      <x:c r="E7" s="20" t="str">
        <x:v>跨轮直接加总、最终股东结构、控制权</x:v>
      </x:c>
      <x:c r="F7" s="20" t="str">
        <x:v>5项云汉B轮主体正式停止</x:v>
      </x:c>
      <x:c r="G7" s="20" t="str">
        <x:v>Stage 6补证成果</x:v>
      </x:c>
    </x:row>
    <x:row r="8" ht="72" customHeight="1">
      <x:c r="A8" s="20" t="str">
        <x:v>老股交易</x:v>
      </x:c>
      <x:c r="B8" s="20" t="str">
        <x:v>CV024—CV026</x:v>
      </x:c>
      <x:c r="C8" s="20" t="str">
        <x:v>转让计数8家；金额4家；比值3家</x:v>
      </x:c>
      <x:c r="D8" s="20" t="str">
        <x:v>老股转让与公司融资的不同作用</x:v>
      </x:c>
      <x:c r="E8" s="20" t="str">
        <x:v>把转让对价并入发行人融资额</x:v>
      </x:c>
      <x:c r="F8" s="20" t="str">
        <x:v>不适用与不可计算分开</x:v>
      </x:c>
      <x:c r="G8" s="20" t="str">
        <x:v>Week 9冻结变量</x:v>
      </x:c>
    </x:row>
    <x:row r="9" ht="72" customHeight="1">
      <x:c r="A9" s="21" t="str">
        <x:v>敏感性分析</x:v>
      </x:c>
      <x:c r="B9" s="21" t="str">
        <x:v>PE/VC分组均值与排除云汉</x:v>
      </x:c>
      <x:c r="C9" s="21" t="str">
        <x:v>全组3对5；排除后2对5</x:v>
      </x:c>
      <x:c r="D9" s="21" t="str">
        <x:v>单一公司对均值和方向的影响</x:v>
      </x:c>
      <x:c r="E9" s="21" t="str">
        <x:v>将敏感性结果解释为稳健因果效应</x:v>
      </x:c>
      <x:c r="F9" s="21" t="str">
        <x:v>影石金额不进入金额均值分母</x:v>
      </x:c>
      <x:c r="G9" s="21" t="str">
        <x:v>Stage 8公式计算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4" hidden="0" customWidth="1"/>
    <x:col min="4" max="4" width="16" hidden="0" customWidth="1"/>
    <x:col min="5" max="5" width="23" hidden="0" customWidth="1"/>
    <x:col min="6" max="6" width="24" hidden="0" customWidth="1"/>
    <x:col min="7" max="7" width="18" hidden="0" customWidth="1"/>
    <x:col min="8" max="8" width="21" hidden="0" customWidth="1"/>
    <x:col min="9" max="9" width="21" hidden="0" customWidth="1"/>
    <x:col min="10" max="10" width="21" hidden="0" customWidth="1"/>
    <x:col min="11" max="11" width="18" hidden="0" customWidth="1"/>
    <x:col min="12" max="12" width="19" hidden="0" customWidth="1"/>
    <x:col min="13" max="13" width="21" hidden="0" customWidth="1"/>
    <x:col min="14" max="14" width="19" hidden="0" customWidth="1"/>
    <x:col min="15" max="15" width="19" hidden="0" customWidth="1"/>
    <x:col min="16" max="16" width="18" hidden="0" customWidth="1"/>
    <x:col min="17" max="17" width="21" hidden="0" customWidth="1"/>
    <x:col min="18" max="18" width="18" hidden="0" customWidth="1"/>
    <x:col min="19" max="19" width="18" hidden="0" customWidth="1"/>
    <x:col min="20" max="20" width="105" hidden="0" customWidth="1"/>
  </x:cols>
  <x:sheetData>
    <x:row r="1" ht="30" customHeight="1">
      <x:c r="A1" s="3" t="str">
        <x:v>八家公司核心研究画像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44" customHeight="1">
      <x:c r="A2" s="7" t="str">
        <x:v>绿色数据承接Week 9和Stage 6；该表作为后续分组比较与敏感性计算的唯一公司层输入。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8" customHeight="1">
      <x:c r="A4" s="11" t="str">
        <x:v>公司ID</x:v>
      </x:c>
      <x:c r="B4" s="11" t="str">
        <x:v>公司名称</x:v>
      </x:c>
      <x:c r="C4" s="11" t="str">
        <x:v>有融资</x:v>
      </x:c>
      <x:c r="D4" s="11" t="str">
        <x:v>融资轮数</x:v>
      </x:c>
      <x:c r="E4" s="11" t="str">
        <x:v>金额下限(万元)</x:v>
      </x:c>
      <x:c r="F4" s="11" t="str">
        <x:v>金额状态</x:v>
      </x:c>
      <x:c r="G4" s="11" t="str">
        <x:v>确认PE/VC</x:v>
      </x:c>
      <x:c r="H4" s="11" t="str">
        <x:v>PE/VC主体数</x:v>
      </x:c>
      <x:c r="I4" s="11" t="str">
        <x:v>PE/VC融资轮数</x:v>
      </x:c>
      <x:c r="J4" s="11" t="str">
        <x:v>首次进入日期</x:v>
      </x:c>
      <x:c r="K4" s="11" t="str">
        <x:v>进入方式数</x:v>
      </x:c>
      <x:c r="L4" s="11" t="str">
        <x:v>直接主体数</x:v>
      </x:c>
      <x:c r="M4" s="11" t="str">
        <x:v>融资投资方数</x:v>
      </x:c>
      <x:c r="N4" s="11" t="str">
        <x:v>老股转让数</x:v>
      </x:c>
      <x:c r="O4" s="11" t="str">
        <x:v>金额覆盖率</x:v>
      </x:c>
      <x:c r="P4" s="11" t="str">
        <x:v>比例测量数</x:v>
      </x:c>
      <x:c r="Q4" s="11" t="str">
        <x:v>确认PE/VC测量</x:v>
      </x:c>
      <x:c r="R4" s="11" t="str">
        <x:v>完整事件数</x:v>
      </x:c>
      <x:c r="S4" s="11" t="str">
        <x:v>披露限制</x:v>
      </x:c>
      <x:c r="T4" s="11" t="str">
        <x:v>研究解释边界</x:v>
      </x:c>
    </x:row>
    <x:row r="5" ht="66" customHeight="1">
      <x:c r="A5" s="25" t="str">
        <x:v>301563</x:v>
      </x:c>
      <x:c r="B5" s="19" t="str">
        <x:v>云汉芯城</x:v>
      </x:c>
      <x:c r="C5" s="28" t="n">
        <x:v>1</x:v>
      </x:c>
      <x:c r="D5" s="28" t="n">
        <x:v>7</x:v>
      </x:c>
      <x:c r="E5" s="31" t="n">
        <x:v>27120</x:v>
      </x:c>
      <x:c r="F5" s="28" t="str">
        <x:v>VALID</x:v>
      </x:c>
      <x:c r="G5" s="28" t="n">
        <x:v>1</x:v>
      </x:c>
      <x:c r="H5" s="28" t="n">
        <x:v>12</x:v>
      </x:c>
      <x:c r="I5" s="28" t="n">
        <x:v>5</x:v>
      </x:c>
      <x:c r="J5" s="28" t="str">
        <x:v>2014-08</x:v>
      </x:c>
      <x:c r="K5" s="28" t="n">
        <x:v>2</x:v>
      </x:c>
      <x:c r="L5" s="28" t="n">
        <x:v>35</x:v>
      </x:c>
      <x:c r="M5" s="28" t="n">
        <x:v>19</x:v>
      </x:c>
      <x:c r="N5" s="28" t="n">
        <x:v>20</x:v>
      </x:c>
      <x:c r="O5" s="34" t="n">
        <x:v>0.42857142857142855</x:v>
      </x:c>
      <x:c r="P5" s="28" t="n">
        <x:v>23</x:v>
      </x:c>
      <x:c r="Q5" s="28" t="n">
        <x:v>12</x:v>
      </x:c>
      <x:c r="R5" s="28" t="n">
        <x:v>3</x:v>
      </x:c>
      <x:c r="S5" s="28" t="n">
        <x:v>1</x:v>
      </x:c>
      <x:c r="T5" s="19" t="str">
        <x:v>7轮融资仅3轮披露金额；20笔转让和19个融资主体会显著影响均值；2015 B轮5个主体比例停止。</x:v>
      </x:c>
    </x:row>
    <x:row r="6" ht="66" customHeight="1">
      <x:c r="A6" s="26" t="str">
        <x:v>001282</x:v>
      </x:c>
      <x:c r="B6" s="20" t="str">
        <x:v>三联锻造</x:v>
      </x:c>
      <x:c r="C6" s="29" t="n">
        <x:v>1</x:v>
      </x:c>
      <x:c r="D6" s="29" t="n">
        <x:v>1</x:v>
      </x:c>
      <x:c r="E6" s="32" t="n">
        <x:v>1566</x:v>
      </x:c>
      <x:c r="F6" s="29" t="str">
        <x:v>VALID</x:v>
      </x:c>
      <x:c r="G6" s="29" t="n">
        <x:v>0</x:v>
      </x:c>
      <x:c r="H6" s="29" t="n">
        <x:v>0</x:v>
      </x:c>
      <x:c r="I6" s="29" t="n">
        <x:v>0</x:v>
      </x:c>
      <x:c r="J6" s="29"/>
      <x:c r="K6" s="29" t="n">
        <x:v>0</x:v>
      </x:c>
      <x:c r="L6" s="29" t="n">
        <x:v>1</x:v>
      </x:c>
      <x:c r="M6" s="29" t="n">
        <x:v>1</x:v>
      </x:c>
      <x:c r="N6" s="29" t="n">
        <x:v>0</x:v>
      </x:c>
      <x:c r="O6" s="35" t="n">
        <x:v>1</x:v>
      </x:c>
      <x:c r="P6" s="29" t="n">
        <x:v>0</x:v>
      </x:c>
      <x:c r="Q6" s="29" t="n">
        <x:v>0</x:v>
      </x:c>
      <x:c r="R6" s="29" t="n">
        <x:v>0</x:v>
      </x:c>
      <x:c r="S6" s="29" t="n">
        <x:v>1</x:v>
      </x:c>
      <x:c r="T6" s="20" t="str">
        <x:v>只有1轮已识别融资，融资时间跨度不适用；投资方身份存在名称交叉映射限制。</x:v>
      </x:c>
    </x:row>
    <x:row r="7" ht="66" customHeight="1">
      <x:c r="A7" s="26" t="str">
        <x:v>301581</x:v>
      </x:c>
      <x:c r="B7" s="20" t="str">
        <x:v>黄山谷捷</x:v>
      </x:c>
      <x:c r="C7" s="29" t="n">
        <x:v>1</x:v>
      </x:c>
      <x:c r="D7" s="29" t="n">
        <x:v>2</x:v>
      </x:c>
      <x:c r="E7" s="32" t="n">
        <x:v>13655.098274</x:v>
      </x:c>
      <x:c r="F7" s="29" t="str">
        <x:v>VALID</x:v>
      </x:c>
      <x:c r="G7" s="29" t="n">
        <x:v>0</x:v>
      </x:c>
      <x:c r="H7" s="29" t="n">
        <x:v>0</x:v>
      </x:c>
      <x:c r="I7" s="29" t="n">
        <x:v>0</x:v>
      </x:c>
      <x:c r="J7" s="29"/>
      <x:c r="K7" s="29" t="n">
        <x:v>0</x:v>
      </x:c>
      <x:c r="L7" s="29" t="n">
        <x:v>6</x:v>
      </x:c>
      <x:c r="M7" s="29" t="n">
        <x:v>3</x:v>
      </x:c>
      <x:c r="N7" s="29" t="n">
        <x:v>1</x:v>
      </x:c>
      <x:c r="O7" s="35" t="n">
        <x:v>1</x:v>
      </x:c>
      <x:c r="P7" s="29" t="n">
        <x:v>0</x:v>
      </x:c>
      <x:c r="Q7" s="29" t="n">
        <x:v>0</x:v>
      </x:c>
      <x:c r="R7" s="29" t="n">
        <x:v>0</x:v>
      </x:c>
      <x:c r="S7" s="29" t="n">
        <x:v>0</x:v>
      </x:c>
      <x:c r="T7" s="20" t="str">
        <x:v>投资者名称保留招股书披露简称；1笔转让对价为显式0，不等同缺失。</x:v>
      </x:c>
    </x:row>
    <x:row r="8" ht="66" customHeight="1">
      <x:c r="A8" s="26" t="str">
        <x:v>603418</x:v>
      </x:c>
      <x:c r="B8" s="20" t="str">
        <x:v>友升股份</x:v>
      </x:c>
      <x:c r="C8" s="29" t="n">
        <x:v>1</x:v>
      </x:c>
      <x:c r="D8" s="29" t="n">
        <x:v>2</x:v>
      </x:c>
      <x:c r="E8" s="32" t="n">
        <x:v>48500</x:v>
      </x:c>
      <x:c r="F8" s="29" t="str">
        <x:v>VALID</x:v>
      </x:c>
      <x:c r="G8" s="29" t="n">
        <x:v>1</x:v>
      </x:c>
      <x:c r="H8" s="29" t="n">
        <x:v>2</x:v>
      </x:c>
      <x:c r="I8" s="29" t="n">
        <x:v>1</x:v>
      </x:c>
      <x:c r="J8" s="29" t="str">
        <x:v>2020-09</x:v>
      </x:c>
      <x:c r="K8" s="29" t="n">
        <x:v>1</x:v>
      </x:c>
      <x:c r="L8" s="29" t="n">
        <x:v>13</x:v>
      </x:c>
      <x:c r="M8" s="29" t="n">
        <x:v>2</x:v>
      </x:c>
      <x:c r="N8" s="29" t="n">
        <x:v>0</x:v>
      </x:c>
      <x:c r="O8" s="35" t="n">
        <x:v>1</x:v>
      </x:c>
      <x:c r="P8" s="29" t="n">
        <x:v>2</x:v>
      </x:c>
      <x:c r="Q8" s="29" t="n">
        <x:v>2</x:v>
      </x:c>
      <x:c r="R8" s="29" t="n">
        <x:v>1</x:v>
      </x:c>
      <x:c r="S8" s="29" t="n">
        <x:v>0</x:v>
      </x:c>
      <x:c r="T8" s="20" t="str">
        <x:v>PE/VC融资轮依赖补充party bridge；2020年两机构持股8.97%有原始表格证据。</x:v>
      </x:c>
    </x:row>
    <x:row r="9" ht="66" customHeight="1">
      <x:c r="A9" s="26" t="str">
        <x:v>688758</x:v>
      </x:c>
      <x:c r="B9" s="20" t="str">
        <x:v>赛分科技</x:v>
      </x:c>
      <x:c r="C9" s="29" t="n">
        <x:v>1</x:v>
      </x:c>
      <x:c r="D9" s="29" t="n">
        <x:v>3</x:v>
      </x:c>
      <x:c r="E9" s="32" t="n">
        <x:v>74000</x:v>
      </x:c>
      <x:c r="F9" s="29" t="str">
        <x:v>VALID</x:v>
      </x:c>
      <x:c r="G9" s="29" t="n">
        <x:v>0</x:v>
      </x:c>
      <x:c r="H9" s="29" t="n">
        <x:v>0</x:v>
      </x:c>
      <x:c r="I9" s="29" t="n">
        <x:v>0</x:v>
      </x:c>
      <x:c r="J9" s="29"/>
      <x:c r="K9" s="29" t="n">
        <x:v>0</x:v>
      </x:c>
      <x:c r="L9" s="29" t="n">
        <x:v>17</x:v>
      </x:c>
      <x:c r="M9" s="29" t="n">
        <x:v>2</x:v>
      </x:c>
      <x:c r="N9" s="29" t="n">
        <x:v>2</x:v>
      </x:c>
      <x:c r="O9" s="35" t="n">
        <x:v>1</x:v>
      </x:c>
      <x:c r="P9" s="29" t="n">
        <x:v>0</x:v>
      </x:c>
      <x:c r="Q9" s="29" t="n">
        <x:v>0</x:v>
      </x:c>
      <x:c r="R9" s="29" t="n">
        <x:v>0</x:v>
      </x:c>
      <x:c r="S9" s="29" t="n">
        <x:v>0</x:v>
      </x:c>
      <x:c r="T9" s="20" t="str">
        <x:v>未确认PE/VC不等于没有机构投资；74,000万元是可核验融资下限。</x:v>
      </x:c>
    </x:row>
    <x:row r="10" ht="66" customHeight="1">
      <x:c r="A10" s="26" t="str">
        <x:v>688775</x:v>
      </x:c>
      <x:c r="B10" s="20" t="str">
        <x:v>影石创新</x:v>
      </x:c>
      <x:c r="C10" s="29" t="n">
        <x:v>0</x:v>
      </x:c>
      <x:c r="D10" s="29" t="n">
        <x:v>0</x:v>
      </x:c>
      <x:c r="E10" s="32"/>
      <x:c r="F10" s="29" t="str">
        <x:v>NOT_COMPUTABLE</x:v>
      </x:c>
      <x:c r="G10" s="29" t="n">
        <x:v>0</x:v>
      </x:c>
      <x:c r="H10" s="29" t="n">
        <x:v>0</x:v>
      </x:c>
      <x:c r="I10" s="29" t="n">
        <x:v>0</x:v>
      </x:c>
      <x:c r="J10" s="29"/>
      <x:c r="K10" s="29" t="n">
        <x:v>0</x:v>
      </x:c>
      <x:c r="L10" s="29" t="n">
        <x:v>1</x:v>
      </x:c>
      <x:c r="M10" s="29" t="n">
        <x:v>0</x:v>
      </x:c>
      <x:c r="N10" s="29" t="n">
        <x:v>1</x:v>
      </x:c>
      <x:c r="O10" s="35"/>
      <x:c r="P10" s="29" t="n">
        <x:v>0</x:v>
      </x:c>
      <x:c r="Q10" s="29" t="n">
        <x:v>0</x:v>
      </x:c>
      <x:c r="R10" s="29" t="n">
        <x:v>0</x:v>
      </x:c>
      <x:c r="S10" s="29" t="n">
        <x:v>1</x:v>
      </x:c>
      <x:c r="T10" s="20" t="str">
        <x:v>融资历史不可重建；冻结口径0轮不表示从未融资；融资金额和对价比保留null。</x:v>
      </x:c>
    </x:row>
    <x:row r="11" ht="66" customHeight="1">
      <x:c r="A11" s="26" t="str">
        <x:v>920100</x:v>
      </x:c>
      <x:c r="B11" s="20" t="str">
        <x:v>三协电机</x:v>
      </x:c>
      <x:c r="C11" s="29" t="n">
        <x:v>1</x:v>
      </x:c>
      <x:c r="D11" s="29" t="n">
        <x:v>2</x:v>
      </x:c>
      <x:c r="E11" s="32" t="n">
        <x:v>4097.49</x:v>
      </x:c>
      <x:c r="F11" s="29" t="str">
        <x:v>VALID</x:v>
      </x:c>
      <x:c r="G11" s="29" t="n">
        <x:v>1</x:v>
      </x:c>
      <x:c r="H11" s="29" t="n">
        <x:v>2</x:v>
      </x:c>
      <x:c r="I11" s="29" t="n">
        <x:v>1</x:v>
      </x:c>
      <x:c r="J11" s="29" t="str">
        <x:v>2022-09-01</x:v>
      </x:c>
      <x:c r="K11" s="29" t="n">
        <x:v>1</x:v>
      </x:c>
      <x:c r="L11" s="29" t="n">
        <x:v>17</x:v>
      </x:c>
      <x:c r="M11" s="29" t="n">
        <x:v>2</x:v>
      </x:c>
      <x:c r="N11" s="29" t="n">
        <x:v>0</x:v>
      </x:c>
      <x:c r="O11" s="35" t="n">
        <x:v>1</x:v>
      </x:c>
      <x:c r="P11" s="29" t="n">
        <x:v>2</x:v>
      </x:c>
      <x:c r="Q11" s="29" t="n">
        <x:v>2</x:v>
      </x:c>
      <x:c r="R11" s="29" t="n">
        <x:v>1</x:v>
      </x:c>
      <x:c r="S11" s="29" t="n">
        <x:v>0</x:v>
      </x:c>
      <x:c r="T11" s="20" t="str">
        <x:v>Week 9仍保留摘要级路径警告；Stage 6已用原始发行披露补齐两机构认购比例。</x:v>
      </x:c>
    </x:row>
    <x:row r="12" ht="66" customHeight="1">
      <x:c r="A12" s="27" t="str">
        <x:v>920116</x:v>
      </x:c>
      <x:c r="B12" s="21" t="str">
        <x:v>星图测控</x:v>
      </x:c>
      <x:c r="C12" s="30" t="n">
        <x:v>1</x:v>
      </x:c>
      <x:c r="D12" s="30" t="n">
        <x:v>1</x:v>
      </x:c>
      <x:c r="E12" s="33" t="n">
        <x:v>4725</x:v>
      </x:c>
      <x:c r="F12" s="30" t="str">
        <x:v>VALID</x:v>
      </x:c>
      <x:c r="G12" s="30" t="n">
        <x:v>0</x:v>
      </x:c>
      <x:c r="H12" s="30" t="n">
        <x:v>0</x:v>
      </x:c>
      <x:c r="I12" s="30" t="n">
        <x:v>0</x:v>
      </x:c>
      <x:c r="J12" s="30"/>
      <x:c r="K12" s="30" t="n">
        <x:v>0</x:v>
      </x:c>
      <x:c r="L12" s="30" t="n">
        <x:v>3</x:v>
      </x:c>
      <x:c r="M12" s="30" t="n">
        <x:v>3</x:v>
      </x:c>
      <x:c r="N12" s="30" t="n">
        <x:v>0</x:v>
      </x:c>
      <x:c r="O12" s="36" t="n">
        <x:v>1</x:v>
      </x:c>
      <x:c r="P12" s="30" t="n">
        <x:v>0</x:v>
      </x:c>
      <x:c r="Q12" s="30" t="n">
        <x:v>0</x:v>
      </x:c>
      <x:c r="R12" s="30" t="n">
        <x:v>0</x:v>
      </x:c>
      <x:c r="S12" s="30" t="n">
        <x:v>0</x:v>
      </x:c>
      <x:c r="T12" s="21" t="str">
        <x:v>只有1轮融资，时间跨度不适用；投资方人数可计数但仍有名称映射限制。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6" hidden="0" customWidth="1"/>
    <x:col min="4" max="4" width="23" hidden="0" customWidth="1"/>
    <x:col min="5" max="5" width="25" hidden="0" customWidth="1"/>
    <x:col min="6" max="6" width="20" hidden="0" customWidth="1"/>
    <x:col min="7" max="7" width="19" hidden="0" customWidth="1"/>
    <x:col min="8" max="8" width="25" hidden="0" customWidth="1"/>
    <x:col min="9" max="9" width="26" hidden="0" customWidth="1"/>
    <x:col min="10" max="10" width="25" hidden="0" customWidth="1"/>
    <x:col min="11" max="11" width="22" hidden="0" customWidth="1"/>
    <x:col min="12" max="12" width="21" hidden="0" customWidth="1"/>
    <x:col min="13" max="13" width="23" hidden="0" customWidth="1"/>
    <x:col min="14" max="14" width="27" hidden="0" customWidth="1"/>
    <x:col min="15" max="15" width="20" hidden="0" customWidth="1"/>
    <x:col min="16" max="16" width="108" hidden="0" customWidth="1"/>
  </x:cols>
  <x:sheetData>
    <x:row r="1" ht="30" customHeight="1">
      <x:c r="A1" s="3" t="str">
        <x:v>融资规模、金额覆盖与时间节奏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44" customHeight="1">
      <x:c r="A2" s="7" t="str">
        <x:v>金额均为可核验下限；均值、中位数和最大轮只针对已披露金额轮次。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8" customHeight="1">
      <x:c r="A4" s="11" t="str">
        <x:v>公司ID</x:v>
      </x:c>
      <x:c r="B4" s="11" t="str">
        <x:v>公司名称</x:v>
      </x:c>
      <x:c r="C4" s="11" t="str">
        <x:v>融资轮数</x:v>
      </x:c>
      <x:c r="D4" s="11" t="str">
        <x:v>金额下限(万元)</x:v>
      </x:c>
      <x:c r="E4" s="11" t="str">
        <x:v>金额状态</x:v>
      </x:c>
      <x:c r="F4" s="11" t="str">
        <x:v>金额已知轮数</x:v>
      </x:c>
      <x:c r="G4" s="11" t="str">
        <x:v>金额覆盖率</x:v>
      </x:c>
      <x:c r="H4" s="11" t="str">
        <x:v>已知轮均值(万元)</x:v>
      </x:c>
      <x:c r="I4" s="11" t="str">
        <x:v>已知轮中位数(万元)</x:v>
      </x:c>
      <x:c r="J4" s="11" t="str">
        <x:v>最大已知轮(万元)</x:v>
      </x:c>
      <x:c r="K4" s="11" t="str">
        <x:v>最大轮金额占比</x:v>
      </x:c>
      <x:c r="L4" s="11" t="str">
        <x:v>融资跨度(月)</x:v>
      </x:c>
      <x:c r="M4" s="11" t="str">
        <x:v>跨度状态</x:v>
      </x:c>
      <x:c r="N4" s="11" t="str">
        <x:v>轮间隔中位数(月)</x:v>
      </x:c>
      <x:c r="O4" s="11" t="str">
        <x:v>日期覆盖率</x:v>
      </x:c>
      <x:c r="P4" s="11" t="str">
        <x:v>解释边界</x:v>
      </x:c>
    </x:row>
    <x:row r="5" ht="66" customHeight="1">
      <x:c r="A5" s="25" t="str">
        <x:v>301563</x:v>
      </x:c>
      <x:c r="B5" s="19" t="str">
        <x:v>云汉芯城</x:v>
      </x:c>
      <x:c r="C5" s="19" t="n">
        <x:v>7</x:v>
      </x:c>
      <x:c r="D5" s="37" t="n">
        <x:v>27120</x:v>
      </x:c>
      <x:c r="E5" s="19" t="str">
        <x:v>VALID</x:v>
      </x:c>
      <x:c r="F5" s="19" t="n">
        <x:v>3</x:v>
      </x:c>
      <x:c r="G5" s="40" t="n">
        <x:v>0.42857142857142855</x:v>
      </x:c>
      <x:c r="H5" s="37" t="n">
        <x:v>9000</x:v>
      </x:c>
      <x:c r="I5" s="37" t="n">
        <x:v>7000</x:v>
      </x:c>
      <x:c r="J5" s="37" t="n">
        <x:v>15000</x:v>
      </x:c>
      <x:c r="K5" s="40" t="n">
        <x:v>0.5555555555555556</x:v>
      </x:c>
      <x:c r="L5" s="19" t="n">
        <x:v>129</x:v>
      </x:c>
      <x:c r="M5" s="19" t="str">
        <x:v>VALID</x:v>
      </x:c>
      <x:c r="N5" s="19" t="n">
        <x:v>7</x:v>
      </x:c>
      <x:c r="O5" s="40" t="n">
        <x:v>0.8571428571428571</x:v>
      </x:c>
      <x:c r="P5" s="19" t="str">
        <x:v>7轮融资仅3轮披露金额；20笔转让和19个融资主体会显著影响均值；2015 B轮5个主体比例停止。</x:v>
      </x:c>
    </x:row>
    <x:row r="6" ht="66" customHeight="1">
      <x:c r="A6" s="26" t="str">
        <x:v>001282</x:v>
      </x:c>
      <x:c r="B6" s="20" t="str">
        <x:v>三联锻造</x:v>
      </x:c>
      <x:c r="C6" s="20" t="n">
        <x:v>1</x:v>
      </x:c>
      <x:c r="D6" s="38" t="n">
        <x:v>1566</x:v>
      </x:c>
      <x:c r="E6" s="20" t="str">
        <x:v>VALID</x:v>
      </x:c>
      <x:c r="F6" s="20" t="n">
        <x:v>1</x:v>
      </x:c>
      <x:c r="G6" s="41" t="n">
        <x:v>1</x:v>
      </x:c>
      <x:c r="H6" s="38" t="n">
        <x:v>1566</x:v>
      </x:c>
      <x:c r="I6" s="38" t="n">
        <x:v>1566</x:v>
      </x:c>
      <x:c r="J6" s="38" t="n">
        <x:v>1566</x:v>
      </x:c>
      <x:c r="K6" s="41" t="n">
        <x:v>1</x:v>
      </x:c>
      <x:c r="L6" s="20"/>
      <x:c r="M6" s="20" t="str">
        <x:v>STRUCTURAL_NA</x:v>
      </x:c>
      <x:c r="N6" s="20"/>
      <x:c r="O6" s="41" t="n">
        <x:v>1</x:v>
      </x:c>
      <x:c r="P6" s="20" t="str">
        <x:v>只有1轮已识别融资，融资时间跨度不适用；投资方身份存在名称交叉映射限制。</x:v>
      </x:c>
    </x:row>
    <x:row r="7" ht="66" customHeight="1">
      <x:c r="A7" s="26" t="str">
        <x:v>301581</x:v>
      </x:c>
      <x:c r="B7" s="20" t="str">
        <x:v>黄山谷捷</x:v>
      </x:c>
      <x:c r="C7" s="20" t="n">
        <x:v>2</x:v>
      </x:c>
      <x:c r="D7" s="38" t="n">
        <x:v>13655.098274</x:v>
      </x:c>
      <x:c r="E7" s="20" t="str">
        <x:v>VALID</x:v>
      </x:c>
      <x:c r="F7" s="20" t="n">
        <x:v>2</x:v>
      </x:c>
      <x:c r="G7" s="41" t="n">
        <x:v>1</x:v>
      </x:c>
      <x:c r="H7" s="38" t="n">
        <x:v>6827.549137</x:v>
      </x:c>
      <x:c r="I7" s="38" t="n">
        <x:v>6827.549137</x:v>
      </x:c>
      <x:c r="J7" s="38" t="n">
        <x:v>11530.285394</x:v>
      </x:c>
      <x:c r="K7" s="41" t="n">
        <x:v>0.8443941715127931</x:v>
      </x:c>
      <x:c r="L7" s="20" t="n">
        <x:v>6</x:v>
      </x:c>
      <x:c r="M7" s="20" t="str">
        <x:v>VALID</x:v>
      </x:c>
      <x:c r="N7" s="20" t="n">
        <x:v>6</x:v>
      </x:c>
      <x:c r="O7" s="41" t="n">
        <x:v>1</x:v>
      </x:c>
      <x:c r="P7" s="20" t="str">
        <x:v>投资者名称保留招股书披露简称；1笔转让对价为显式0，不等同缺失。</x:v>
      </x:c>
    </x:row>
    <x:row r="8" ht="66" customHeight="1">
      <x:c r="A8" s="26" t="str">
        <x:v>603418</x:v>
      </x:c>
      <x:c r="B8" s="20" t="str">
        <x:v>友升股份</x:v>
      </x:c>
      <x:c r="C8" s="20" t="n">
        <x:v>2</x:v>
      </x:c>
      <x:c r="D8" s="38" t="n">
        <x:v>48500</x:v>
      </x:c>
      <x:c r="E8" s="20" t="str">
        <x:v>VALID</x:v>
      </x:c>
      <x:c r="F8" s="20" t="n">
        <x:v>2</x:v>
      </x:c>
      <x:c r="G8" s="41" t="n">
        <x:v>1</x:v>
      </x:c>
      <x:c r="H8" s="38" t="n">
        <x:v>24250</x:v>
      </x:c>
      <x:c r="I8" s="38" t="n">
        <x:v>24250</x:v>
      </x:c>
      <x:c r="J8" s="38" t="n">
        <x:v>37000</x:v>
      </x:c>
      <x:c r="K8" s="41" t="n">
        <x:v>0.7628865979381443</x:v>
      </x:c>
      <x:c r="L8" s="20" t="n">
        <x:v>27</x:v>
      </x:c>
      <x:c r="M8" s="20" t="str">
        <x:v>VALID</x:v>
      </x:c>
      <x:c r="N8" s="20" t="n">
        <x:v>27</x:v>
      </x:c>
      <x:c r="O8" s="41" t="n">
        <x:v>1</x:v>
      </x:c>
      <x:c r="P8" s="20" t="str">
        <x:v>PE/VC融资轮依赖补充party bridge；2020年两机构持股8.97%有原始表格证据。</x:v>
      </x:c>
    </x:row>
    <x:row r="9" ht="66" customHeight="1">
      <x:c r="A9" s="26" t="str">
        <x:v>688758</x:v>
      </x:c>
      <x:c r="B9" s="20" t="str">
        <x:v>赛分科技</x:v>
      </x:c>
      <x:c r="C9" s="20" t="n">
        <x:v>3</x:v>
      </x:c>
      <x:c r="D9" s="38" t="n">
        <x:v>74000</x:v>
      </x:c>
      <x:c r="E9" s="20" t="str">
        <x:v>VALID</x:v>
      </x:c>
      <x:c r="F9" s="20" t="n">
        <x:v>3</x:v>
      </x:c>
      <x:c r="G9" s="41" t="n">
        <x:v>1</x:v>
      </x:c>
      <x:c r="H9" s="38" t="n">
        <x:v>24666.666666666668</x:v>
      </x:c>
      <x:c r="I9" s="38" t="n">
        <x:v>18500</x:v>
      </x:c>
      <x:c r="J9" s="38" t="n">
        <x:v>54000</x:v>
      </x:c>
      <x:c r="K9" s="41" t="n">
        <x:v>0.7297297297297297</x:v>
      </x:c>
      <x:c r="L9" s="20" t="n">
        <x:v>8</x:v>
      </x:c>
      <x:c r="M9" s="20" t="str">
        <x:v>VALID</x:v>
      </x:c>
      <x:c r="N9" s="20" t="n">
        <x:v>4</x:v>
      </x:c>
      <x:c r="O9" s="41" t="n">
        <x:v>1</x:v>
      </x:c>
      <x:c r="P9" s="20" t="str">
        <x:v>未确认PE/VC不等于没有机构投资；74,000万元是可核验融资下限。</x:v>
      </x:c>
    </x:row>
    <x:row r="10" ht="66" customHeight="1">
      <x:c r="A10" s="26" t="str">
        <x:v>688775</x:v>
      </x:c>
      <x:c r="B10" s="20" t="str">
        <x:v>影石创新</x:v>
      </x:c>
      <x:c r="C10" s="20" t="n">
        <x:v>0</x:v>
      </x:c>
      <x:c r="D10" s="38"/>
      <x:c r="E10" s="20" t="str">
        <x:v>NOT_COMPUTABLE</x:v>
      </x:c>
      <x:c r="F10" s="20" t="n">
        <x:v>0</x:v>
      </x:c>
      <x:c r="G10" s="41"/>
      <x:c r="H10" s="38"/>
      <x:c r="I10" s="38"/>
      <x:c r="J10" s="38"/>
      <x:c r="K10" s="41"/>
      <x:c r="L10" s="20"/>
      <x:c r="M10" s="20" t="str">
        <x:v>STRUCTURAL_NA</x:v>
      </x:c>
      <x:c r="N10" s="20"/>
      <x:c r="O10" s="41"/>
      <x:c r="P10" s="20" t="str">
        <x:v>融资历史不可重建；冻结口径0轮不表示从未融资；融资金额和对价比保留null。</x:v>
      </x:c>
    </x:row>
    <x:row r="11" ht="66" customHeight="1">
      <x:c r="A11" s="26" t="str">
        <x:v>920100</x:v>
      </x:c>
      <x:c r="B11" s="20" t="str">
        <x:v>三协电机</x:v>
      </x:c>
      <x:c r="C11" s="20" t="n">
        <x:v>2</x:v>
      </x:c>
      <x:c r="D11" s="38" t="n">
        <x:v>4097.49</x:v>
      </x:c>
      <x:c r="E11" s="20" t="str">
        <x:v>VALID</x:v>
      </x:c>
      <x:c r="F11" s="20" t="n">
        <x:v>2</x:v>
      </x:c>
      <x:c r="G11" s="41" t="n">
        <x:v>1</x:v>
      </x:c>
      <x:c r="H11" s="38" t="n">
        <x:v>2048.745</x:v>
      </x:c>
      <x:c r="I11" s="38" t="n">
        <x:v>2048.745</x:v>
      </x:c>
      <x:c r="J11" s="38" t="n">
        <x:v>2374.4</x:v>
      </x:c>
      <x:c r="K11" s="41" t="n">
        <x:v>0.5794767040310044</x:v>
      </x:c>
      <x:c r="L11" s="20" t="n">
        <x:v>13</x:v>
      </x:c>
      <x:c r="M11" s="20" t="str">
        <x:v>VALID</x:v>
      </x:c>
      <x:c r="N11" s="20" t="n">
        <x:v>13</x:v>
      </x:c>
      <x:c r="O11" s="41" t="n">
        <x:v>1</x:v>
      </x:c>
      <x:c r="P11" s="20" t="str">
        <x:v>Week 9仍保留摘要级路径警告；Stage 6已用原始发行披露补齐两机构认购比例。</x:v>
      </x:c>
    </x:row>
    <x:row r="12" ht="66" customHeight="1">
      <x:c r="A12" s="27" t="str">
        <x:v>920116</x:v>
      </x:c>
      <x:c r="B12" s="21" t="str">
        <x:v>星图测控</x:v>
      </x:c>
      <x:c r="C12" s="21" t="n">
        <x:v>1</x:v>
      </x:c>
      <x:c r="D12" s="39" t="n">
        <x:v>4725</x:v>
      </x:c>
      <x:c r="E12" s="21" t="str">
        <x:v>VALID</x:v>
      </x:c>
      <x:c r="F12" s="21" t="n">
        <x:v>1</x:v>
      </x:c>
      <x:c r="G12" s="42" t="n">
        <x:v>1</x:v>
      </x:c>
      <x:c r="H12" s="39" t="n">
        <x:v>4725</x:v>
      </x:c>
      <x:c r="I12" s="39" t="n">
        <x:v>4725</x:v>
      </x:c>
      <x:c r="J12" s="39" t="n">
        <x:v>4725</x:v>
      </x:c>
      <x:c r="K12" s="42" t="n">
        <x:v>1</x:v>
      </x:c>
      <x:c r="L12" s="21"/>
      <x:c r="M12" s="21" t="str">
        <x:v>STRUCTURAL_NA</x:v>
      </x:c>
      <x:c r="N12" s="21"/>
      <x:c r="O12" s="42" t="n">
        <x:v>1</x:v>
      </x:c>
      <x:c r="P12" s="21" t="str">
        <x:v>只有1轮融资，时间跨度不适用；投资方人数可计数但仍有名称映射限制。</x:v>
      </x:c>
    </x:row>
  </x:sheetData>
  <x:mergeCells>
    <x:mergeCell ref="A1:P1"/>
    <x:mergeCell ref="A2:P2"/>
  </x:mergeCells>
  <x:conditionalFormatting sqref="E5:E12">
    <x:cfRule type="containsText" dxfId="0" priority="1" operator="containsText" text="NOT_COMPUTABLE"/>
  </x:conditionalFormatting>
  <x:conditionalFormatting sqref="M5:M12">
    <x:cfRule type="containsText" dxfId="1" priority="2" operator="containsText" text="STRUCTURAL_NA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9" hidden="0" customWidth="1"/>
    <x:col min="4" max="4" width="23" hidden="0" customWidth="1"/>
    <x:col min="5" max="5" width="26" hidden="0" customWidth="1"/>
    <x:col min="6" max="6" width="25" hidden="0" customWidth="1"/>
    <x:col min="7" max="7" width="21" hidden="0" customWidth="1"/>
    <x:col min="8" max="8" width="24" hidden="0" customWidth="1"/>
    <x:col min="9" max="9" width="22" hidden="0" customWidth="1"/>
    <x:col min="10" max="10" width="21" hidden="0" customWidth="1"/>
    <x:col min="11" max="11" width="19" hidden="0" customWidth="1"/>
    <x:col min="12" max="12" width="25" hidden="0" customWidth="1"/>
    <x:col min="13" max="13" width="19" hidden="0" customWidth="1"/>
    <x:col min="14" max="14" width="110" hidden="0" customWidth="1"/>
  </x:cols>
  <x:sheetData>
    <x:row r="1" ht="30" customHeight="1">
      <x:c r="A1" s="3" t="str">
        <x:v>PE/VC参与、进入时间与路径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4" customHeight="1">
      <x:c r="A2" s="7" t="str">
        <x:v>有无PE/VC可以覆盖八家公司；进入日期和首次轮次位置只对3家确认PE/VC公司适用。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8" customHeight="1">
      <x:c r="A4" s="11" t="str">
        <x:v>公司ID</x:v>
      </x:c>
      <x:c r="B4" s="11" t="str">
        <x:v>公司名称</x:v>
      </x:c>
      <x:c r="C4" s="11" t="str">
        <x:v>确认PE/VC</x:v>
      </x:c>
      <x:c r="D4" s="11" t="str">
        <x:v>PE/VC法律主体数</x:v>
      </x:c>
      <x:c r="E4" s="11" t="str">
        <x:v>PE/VC占直接主体比</x:v>
      </x:c>
      <x:c r="F4" s="11" t="str">
        <x:v>PE/VC参与融资轮数</x:v>
      </x:c>
      <x:c r="G4" s="11" t="str">
        <x:v>首次进入日期</x:v>
      </x:c>
      <x:c r="H4" s="11" t="str">
        <x:v>日期状态</x:v>
      </x:c>
      <x:c r="I4" s="11" t="str">
        <x:v>首次进入轮位置</x:v>
      </x:c>
      <x:c r="J4" s="11" t="str">
        <x:v>间接路径标记</x:v>
      </x:c>
      <x:c r="K4" s="11" t="str">
        <x:v>进入方式数</x:v>
      </x:c>
      <x:c r="L4" s="11" t="str">
        <x:v>确认PE/VC测量数</x:v>
      </x:c>
      <x:c r="M4" s="11" t="str">
        <x:v>完整事件数</x:v>
      </x:c>
      <x:c r="N4" s="11" t="str">
        <x:v>解释边界</x:v>
      </x:c>
    </x:row>
    <x:row r="5" ht="66" customHeight="1">
      <x:c r="A5" s="25" t="str">
        <x:v>301563</x:v>
      </x:c>
      <x:c r="B5" s="19" t="str">
        <x:v>云汉芯城</x:v>
      </x:c>
      <x:c r="C5" s="19" t="n">
        <x:v>1</x:v>
      </x:c>
      <x:c r="D5" s="19" t="n">
        <x:v>12</x:v>
      </x:c>
      <x:c r="E5" s="40" t="n">
        <x:v>0.34285714285714286</x:v>
      </x:c>
      <x:c r="F5" s="19" t="n">
        <x:v>5</x:v>
      </x:c>
      <x:c r="G5" s="19" t="str">
        <x:v>2014-08</x:v>
      </x:c>
      <x:c r="H5" s="19" t="str">
        <x:v>VALID</x:v>
      </x:c>
      <x:c r="I5" s="43" t="n">
        <x:v>0.2857142857142857</x:v>
      </x:c>
      <x:c r="J5" s="19" t="n">
        <x:v>1</x:v>
      </x:c>
      <x:c r="K5" s="19" t="n">
        <x:v>2</x:v>
      </x:c>
      <x:c r="L5" s="19" t="n">
        <x:v>12</x:v>
      </x:c>
      <x:c r="M5" s="19" t="n">
        <x:v>3</x:v>
      </x:c>
      <x:c r="N5" s="19" t="str">
        <x:v>7轮融资仅3轮披露金额；20笔转让和19个融资主体会显著影响均值；2015 B轮5个主体比例停止。</x:v>
      </x:c>
    </x:row>
    <x:row r="6" ht="66" customHeight="1">
      <x:c r="A6" s="26" t="str">
        <x:v>001282</x:v>
      </x:c>
      <x:c r="B6" s="20" t="str">
        <x:v>三联锻造</x:v>
      </x:c>
      <x:c r="C6" s="20" t="n">
        <x:v>0</x:v>
      </x:c>
      <x:c r="D6" s="20" t="n">
        <x:v>0</x:v>
      </x:c>
      <x:c r="E6" s="41" t="n">
        <x:v>0</x:v>
      </x:c>
      <x:c r="F6" s="20" t="n">
        <x:v>0</x:v>
      </x:c>
      <x:c r="G6" s="20"/>
      <x:c r="H6" s="20" t="str">
        <x:v>STRUCTURAL_NA</x:v>
      </x:c>
      <x:c r="I6" s="44"/>
      <x:c r="J6" s="20" t="n">
        <x:v>0</x:v>
      </x:c>
      <x:c r="K6" s="20" t="n">
        <x:v>0</x:v>
      </x:c>
      <x:c r="L6" s="20" t="n">
        <x:v>0</x:v>
      </x:c>
      <x:c r="M6" s="20" t="n">
        <x:v>0</x:v>
      </x:c>
      <x:c r="N6" s="20" t="str">
        <x:v>只有1轮已识别融资，融资时间跨度不适用；投资方身份存在名称交叉映射限制。</x:v>
      </x:c>
    </x:row>
    <x:row r="7" ht="66" customHeight="1">
      <x:c r="A7" s="26" t="str">
        <x:v>301581</x:v>
      </x:c>
      <x:c r="B7" s="20" t="str">
        <x:v>黄山谷捷</x:v>
      </x:c>
      <x:c r="C7" s="20" t="n">
        <x:v>0</x:v>
      </x:c>
      <x:c r="D7" s="20" t="n">
        <x:v>0</x:v>
      </x:c>
      <x:c r="E7" s="41" t="n">
        <x:v>0</x:v>
      </x:c>
      <x:c r="F7" s="20" t="n">
        <x:v>0</x:v>
      </x:c>
      <x:c r="G7" s="20"/>
      <x:c r="H7" s="20" t="str">
        <x:v>STRUCTURAL_NA</x:v>
      </x:c>
      <x:c r="I7" s="44"/>
      <x:c r="J7" s="20" t="n">
        <x:v>0</x:v>
      </x:c>
      <x:c r="K7" s="20" t="n">
        <x:v>0</x:v>
      </x:c>
      <x:c r="L7" s="20" t="n">
        <x:v>0</x:v>
      </x:c>
      <x:c r="M7" s="20" t="n">
        <x:v>0</x:v>
      </x:c>
      <x:c r="N7" s="20" t="str">
        <x:v>投资者名称保留招股书披露简称；1笔转让对价为显式0，不等同缺失。</x:v>
      </x:c>
    </x:row>
    <x:row r="8" ht="66" customHeight="1">
      <x:c r="A8" s="26" t="str">
        <x:v>603418</x:v>
      </x:c>
      <x:c r="B8" s="20" t="str">
        <x:v>友升股份</x:v>
      </x:c>
      <x:c r="C8" s="20" t="n">
        <x:v>1</x:v>
      </x:c>
      <x:c r="D8" s="20" t="n">
        <x:v>2</x:v>
      </x:c>
      <x:c r="E8" s="41" t="n">
        <x:v>0.15384615384615385</x:v>
      </x:c>
      <x:c r="F8" s="20" t="n">
        <x:v>1</x:v>
      </x:c>
      <x:c r="G8" s="20" t="str">
        <x:v>2020-09</x:v>
      </x:c>
      <x:c r="H8" s="20" t="str">
        <x:v>VALID</x:v>
      </x:c>
      <x:c r="I8" s="44" t="n">
        <x:v>0.5</x:v>
      </x:c>
      <x:c r="J8" s="20" t="n">
        <x:v>0</x:v>
      </x:c>
      <x:c r="K8" s="20" t="n">
        <x:v>1</x:v>
      </x:c>
      <x:c r="L8" s="20" t="n">
        <x:v>2</x:v>
      </x:c>
      <x:c r="M8" s="20" t="n">
        <x:v>1</x:v>
      </x:c>
      <x:c r="N8" s="20" t="str">
        <x:v>PE/VC融资轮依赖补充party bridge；2020年两机构持股8.97%有原始表格证据。</x:v>
      </x:c>
    </x:row>
    <x:row r="9" ht="66" customHeight="1">
      <x:c r="A9" s="26" t="str">
        <x:v>688758</x:v>
      </x:c>
      <x:c r="B9" s="20" t="str">
        <x:v>赛分科技</x:v>
      </x:c>
      <x:c r="C9" s="20" t="n">
        <x:v>0</x:v>
      </x:c>
      <x:c r="D9" s="20" t="n">
        <x:v>0</x:v>
      </x:c>
      <x:c r="E9" s="41" t="n">
        <x:v>0</x:v>
      </x:c>
      <x:c r="F9" s="20" t="n">
        <x:v>0</x:v>
      </x:c>
      <x:c r="G9" s="20"/>
      <x:c r="H9" s="20" t="str">
        <x:v>STRUCTURAL_NA</x:v>
      </x:c>
      <x:c r="I9" s="44"/>
      <x:c r="J9" s="20" t="n">
        <x:v>0</x:v>
      </x:c>
      <x:c r="K9" s="20" t="n">
        <x:v>0</x:v>
      </x:c>
      <x:c r="L9" s="20" t="n">
        <x:v>0</x:v>
      </x:c>
      <x:c r="M9" s="20" t="n">
        <x:v>0</x:v>
      </x:c>
      <x:c r="N9" s="20" t="str">
        <x:v>未确认PE/VC不等于没有机构投资；74,000万元是可核验融资下限。</x:v>
      </x:c>
    </x:row>
    <x:row r="10" ht="66" customHeight="1">
      <x:c r="A10" s="26" t="str">
        <x:v>688775</x:v>
      </x:c>
      <x:c r="B10" s="20" t="str">
        <x:v>影石创新</x:v>
      </x:c>
      <x:c r="C10" s="20" t="n">
        <x:v>0</x:v>
      </x:c>
      <x:c r="D10" s="20" t="n">
        <x:v>0</x:v>
      </x:c>
      <x:c r="E10" s="41" t="n">
        <x:v>0</x:v>
      </x:c>
      <x:c r="F10" s="20" t="n">
        <x:v>0</x:v>
      </x:c>
      <x:c r="G10" s="20"/>
      <x:c r="H10" s="20" t="str">
        <x:v>STRUCTURAL_NA</x:v>
      </x:c>
      <x:c r="I10" s="44"/>
      <x:c r="J10" s="20" t="n">
        <x:v>0</x:v>
      </x:c>
      <x:c r="K10" s="20" t="n">
        <x:v>0</x:v>
      </x:c>
      <x:c r="L10" s="20" t="n">
        <x:v>0</x:v>
      </x:c>
      <x:c r="M10" s="20" t="n">
        <x:v>0</x:v>
      </x:c>
      <x:c r="N10" s="20" t="str">
        <x:v>融资历史不可重建；冻结口径0轮不表示从未融资；融资金额和对价比保留null。</x:v>
      </x:c>
    </x:row>
    <x:row r="11" ht="66" customHeight="1">
      <x:c r="A11" s="26" t="str">
        <x:v>920100</x:v>
      </x:c>
      <x:c r="B11" s="20" t="str">
        <x:v>三协电机</x:v>
      </x:c>
      <x:c r="C11" s="20" t="n">
        <x:v>1</x:v>
      </x:c>
      <x:c r="D11" s="20" t="n">
        <x:v>2</x:v>
      </x:c>
      <x:c r="E11" s="41" t="n">
        <x:v>0.11764705882352941</x:v>
      </x:c>
      <x:c r="F11" s="20" t="n">
        <x:v>1</x:v>
      </x:c>
      <x:c r="G11" s="20" t="str">
        <x:v>2022-09-01</x:v>
      </x:c>
      <x:c r="H11" s="20" t="str">
        <x:v>VALID</x:v>
      </x:c>
      <x:c r="I11" s="44" t="n">
        <x:v>0.5</x:v>
      </x:c>
      <x:c r="J11" s="20" t="n">
        <x:v>0</x:v>
      </x:c>
      <x:c r="K11" s="20" t="n">
        <x:v>1</x:v>
      </x:c>
      <x:c r="L11" s="20" t="n">
        <x:v>2</x:v>
      </x:c>
      <x:c r="M11" s="20" t="n">
        <x:v>1</x:v>
      </x:c>
      <x:c r="N11" s="20" t="str">
        <x:v>Week 9仍保留摘要级路径警告；Stage 6已用原始发行披露补齐两机构认购比例。</x:v>
      </x:c>
    </x:row>
    <x:row r="12" ht="66" customHeight="1">
      <x:c r="A12" s="27" t="str">
        <x:v>920116</x:v>
      </x:c>
      <x:c r="B12" s="21" t="str">
        <x:v>星图测控</x:v>
      </x:c>
      <x:c r="C12" s="21" t="n">
        <x:v>0</x:v>
      </x:c>
      <x:c r="D12" s="21" t="n">
        <x:v>0</x:v>
      </x:c>
      <x:c r="E12" s="42" t="n">
        <x:v>0</x:v>
      </x:c>
      <x:c r="F12" s="21" t="n">
        <x:v>0</x:v>
      </x:c>
      <x:c r="G12" s="21"/>
      <x:c r="H12" s="21" t="str">
        <x:v>STRUCTURAL_NA</x:v>
      </x:c>
      <x:c r="I12" s="45"/>
      <x:c r="J12" s="21" t="n">
        <x:v>0</x:v>
      </x:c>
      <x:c r="K12" s="21" t="n">
        <x:v>0</x:v>
      </x:c>
      <x:c r="L12" s="21" t="n">
        <x:v>0</x:v>
      </x:c>
      <x:c r="M12" s="21" t="n">
        <x:v>0</x:v>
      </x:c>
      <x:c r="N12" s="21" t="str">
        <x:v>只有1轮融资，时间跨度不适用；投资方人数可计数但仍有名称映射限制。</x:v>
      </x:c>
    </x:row>
  </x:sheetData>
  <x:mergeCells>
    <x:mergeCell ref="A1:N1"/>
    <x:mergeCell ref="A2:N2"/>
  </x:mergeCells>
  <x:conditionalFormatting sqref="H5:H12">
    <x:cfRule type="containsText" dxfId="2" priority="1" operator="containsText" text="STRUCTURAL_NA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7" hidden="0" customWidth="1"/>
    <x:col min="4" max="4" width="25" hidden="0" customWidth="1"/>
    <x:col min="5" max="5" width="25" hidden="0" customWidth="1"/>
    <x:col min="6" max="6" width="19" hidden="0" customWidth="1"/>
    <x:col min="7" max="7" width="28" hidden="0" customWidth="1"/>
    <x:col min="8" max="8" width="26" hidden="0" customWidth="1"/>
    <x:col min="9" max="9" width="22" hidden="0" customWidth="1"/>
    <x:col min="10" max="10" width="25" hidden="0" customWidth="1"/>
    <x:col min="11" max="11" width="80" hidden="0" customWidth="1"/>
    <x:col min="12" max="12" width="104" hidden="0" customWidth="1"/>
  </x:cols>
  <x:sheetData>
    <x:row r="1" ht="30" customHeight="1">
      <x:c r="A1" s="3" t="str">
        <x:v>一级融资与老股转让分别分析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44" customHeight="1">
      <x:c r="A2" s="7" t="str">
        <x:v>融资金额进入发行人；老股转让对价通常由股东之间支付，不能并入公司融资规模。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8" customHeight="1">
      <x:c r="A4" s="11" t="str">
        <x:v>公司ID</x:v>
      </x:c>
      <x:c r="B4" s="11" t="str">
        <x:v>公司名称</x:v>
      </x:c>
      <x:c r="C4" s="11" t="str">
        <x:v>融资轮数</x:v>
      </x:c>
      <x:c r="D4" s="11" t="str">
        <x:v>融资下限(万元)</x:v>
      </x:c>
      <x:c r="E4" s="11" t="str">
        <x:v>融资金额状态</x:v>
      </x:c>
      <x:c r="F4" s="11" t="str">
        <x:v>老股转让数</x:v>
      </x:c>
      <x:c r="G4" s="11" t="str">
        <x:v>转让对价下限(万元)</x:v>
      </x:c>
      <x:c r="H4" s="11" t="str">
        <x:v>转让金额状态</x:v>
      </x:c>
      <x:c r="I4" s="11" t="str">
        <x:v>转让/融资比</x:v>
      </x:c>
      <x:c r="J4" s="11" t="str">
        <x:v>比值状态</x:v>
      </x:c>
      <x:c r="K4" s="11" t="str">
        <x:v>交易解释</x:v>
      </x:c>
      <x:c r="L4" s="11" t="str">
        <x:v>公司边界</x:v>
      </x:c>
    </x:row>
    <x:row r="5" ht="67" customHeight="1">
      <x:c r="A5" s="25" t="str">
        <x:v>301563</x:v>
      </x:c>
      <x:c r="B5" s="19" t="str">
        <x:v>云汉芯城</x:v>
      </x:c>
      <x:c r="C5" s="19" t="n">
        <x:v>7</x:v>
      </x:c>
      <x:c r="D5" s="37" t="n">
        <x:v>27120</x:v>
      </x:c>
      <x:c r="E5" s="19" t="str">
        <x:v>VALID</x:v>
      </x:c>
      <x:c r="F5" s="19" t="n">
        <x:v>20</x:v>
      </x:c>
      <x:c r="G5" s="37" t="n">
        <x:v>13018.1954</x:v>
      </x:c>
      <x:c r="H5" s="19" t="str">
        <x:v>VALID</x:v>
      </x:c>
      <x:c r="I5" s="40" t="n">
        <x:v>0.48002195427728617</x:v>
      </x:c>
      <x:c r="J5" s="19" t="str">
        <x:v>VALID</x:v>
      </x:c>
      <x:c r="K5" s="19" t="str">
        <x:v>存在老股转让；不得并入发行人融资额</x:v>
      </x:c>
      <x:c r="L5" s="19" t="str">
        <x:v>7轮融资仅3轮披露金额；20笔转让和19个融资主体会显著影响均值；2015 B轮5个主体比例停止。</x:v>
      </x:c>
    </x:row>
    <x:row r="6" ht="67" customHeight="1">
      <x:c r="A6" s="26" t="str">
        <x:v>001282</x:v>
      </x:c>
      <x:c r="B6" s="20" t="str">
        <x:v>三联锻造</x:v>
      </x:c>
      <x:c r="C6" s="20" t="n">
        <x:v>1</x:v>
      </x:c>
      <x:c r="D6" s="38" t="n">
        <x:v>1566</x:v>
      </x:c>
      <x:c r="E6" s="20" t="str">
        <x:v>VALID</x:v>
      </x:c>
      <x:c r="F6" s="20" t="n">
        <x:v>0</x:v>
      </x:c>
      <x:c r="G6" s="38"/>
      <x:c r="H6" s="20" t="str">
        <x:v>STRUCTURAL_NA</x:v>
      </x:c>
      <x:c r="I6" s="41"/>
      <x:c r="J6" s="20" t="str">
        <x:v>STRUCTURAL_NA</x:v>
      </x:c>
      <x:c r="K6" s="20" t="str">
        <x:v>冻结口径未识别老股转让</x:v>
      </x:c>
      <x:c r="L6" s="20" t="str">
        <x:v>只有1轮已识别融资，融资时间跨度不适用；投资方身份存在名称交叉映射限制。</x:v>
      </x:c>
    </x:row>
    <x:row r="7" ht="67" customHeight="1">
      <x:c r="A7" s="26" t="str">
        <x:v>301581</x:v>
      </x:c>
      <x:c r="B7" s="20" t="str">
        <x:v>黄山谷捷</x:v>
      </x:c>
      <x:c r="C7" s="20" t="n">
        <x:v>2</x:v>
      </x:c>
      <x:c r="D7" s="38" t="n">
        <x:v>13655.098274</x:v>
      </x:c>
      <x:c r="E7" s="20" t="str">
        <x:v>VALID</x:v>
      </x:c>
      <x:c r="F7" s="20" t="n">
        <x:v>1</x:v>
      </x:c>
      <x:c r="G7" s="38" t="n">
        <x:v>0</x:v>
      </x:c>
      <x:c r="H7" s="20" t="str">
        <x:v>VALID</x:v>
      </x:c>
      <x:c r="I7" s="41" t="n">
        <x:v>0</x:v>
      </x:c>
      <x:c r="J7" s="20" t="str">
        <x:v>VALID</x:v>
      </x:c>
      <x:c r="K7" s="20" t="str">
        <x:v>存在老股转让；不得并入发行人融资额</x:v>
      </x:c>
      <x:c r="L7" s="20" t="str">
        <x:v>投资者名称保留招股书披露简称；1笔转让对价为显式0，不等同缺失。</x:v>
      </x:c>
    </x:row>
    <x:row r="8" ht="67" customHeight="1">
      <x:c r="A8" s="26" t="str">
        <x:v>603418</x:v>
      </x:c>
      <x:c r="B8" s="20" t="str">
        <x:v>友升股份</x:v>
      </x:c>
      <x:c r="C8" s="20" t="n">
        <x:v>2</x:v>
      </x:c>
      <x:c r="D8" s="38" t="n">
        <x:v>48500</x:v>
      </x:c>
      <x:c r="E8" s="20" t="str">
        <x:v>VALID</x:v>
      </x:c>
      <x:c r="F8" s="20" t="n">
        <x:v>0</x:v>
      </x:c>
      <x:c r="G8" s="38"/>
      <x:c r="H8" s="20" t="str">
        <x:v>STRUCTURAL_NA</x:v>
      </x:c>
      <x:c r="I8" s="41"/>
      <x:c r="J8" s="20" t="str">
        <x:v>STRUCTURAL_NA</x:v>
      </x:c>
      <x:c r="K8" s="20" t="str">
        <x:v>冻结口径未识别老股转让</x:v>
      </x:c>
      <x:c r="L8" s="20" t="str">
        <x:v>PE/VC融资轮依赖补充party bridge；2020年两机构持股8.97%有原始表格证据。</x:v>
      </x:c>
    </x:row>
    <x:row r="9" ht="67" customHeight="1">
      <x:c r="A9" s="26" t="str">
        <x:v>688758</x:v>
      </x:c>
      <x:c r="B9" s="20" t="str">
        <x:v>赛分科技</x:v>
      </x:c>
      <x:c r="C9" s="20" t="n">
        <x:v>3</x:v>
      </x:c>
      <x:c r="D9" s="38" t="n">
        <x:v>74000</x:v>
      </x:c>
      <x:c r="E9" s="20" t="str">
        <x:v>VALID</x:v>
      </x:c>
      <x:c r="F9" s="20" t="n">
        <x:v>2</x:v>
      </x:c>
      <x:c r="G9" s="38" t="n">
        <x:v>3000</x:v>
      </x:c>
      <x:c r="H9" s="20" t="str">
        <x:v>VALID</x:v>
      </x:c>
      <x:c r="I9" s="41" t="n">
        <x:v>0.04054054054054054</x:v>
      </x:c>
      <x:c r="J9" s="20" t="str">
        <x:v>VALID</x:v>
      </x:c>
      <x:c r="K9" s="20" t="str">
        <x:v>存在老股转让；不得并入发行人融资额</x:v>
      </x:c>
      <x:c r="L9" s="20" t="str">
        <x:v>未确认PE/VC不等于没有机构投资；74,000万元是可核验融资下限。</x:v>
      </x:c>
    </x:row>
    <x:row r="10" ht="67" customHeight="1">
      <x:c r="A10" s="26" t="str">
        <x:v>688775</x:v>
      </x:c>
      <x:c r="B10" s="20" t="str">
        <x:v>影石创新</x:v>
      </x:c>
      <x:c r="C10" s="20" t="n">
        <x:v>0</x:v>
      </x:c>
      <x:c r="D10" s="38"/>
      <x:c r="E10" s="20" t="str">
        <x:v>NOT_COMPUTABLE</x:v>
      </x:c>
      <x:c r="F10" s="20" t="n">
        <x:v>1</x:v>
      </x:c>
      <x:c r="G10" s="38" t="n">
        <x:v>1462.7126</x:v>
      </x:c>
      <x:c r="H10" s="20" t="str">
        <x:v>VALID</x:v>
      </x:c>
      <x:c r="I10" s="41"/>
      <x:c r="J10" s="20" t="str">
        <x:v>NOT_COMPUTABLE</x:v>
      </x:c>
      <x:c r="K10" s="20" t="str">
        <x:v>存在老股转让；不得并入发行人融资额</x:v>
      </x:c>
      <x:c r="L10" s="20" t="str">
        <x:v>融资历史不可重建；冻结口径0轮不表示从未融资；融资金额和对价比保留null。</x:v>
      </x:c>
    </x:row>
    <x:row r="11" ht="67" customHeight="1">
      <x:c r="A11" s="26" t="str">
        <x:v>920100</x:v>
      </x:c>
      <x:c r="B11" s="20" t="str">
        <x:v>三协电机</x:v>
      </x:c>
      <x:c r="C11" s="20" t="n">
        <x:v>2</x:v>
      </x:c>
      <x:c r="D11" s="38" t="n">
        <x:v>4097.49</x:v>
      </x:c>
      <x:c r="E11" s="20" t="str">
        <x:v>VALID</x:v>
      </x:c>
      <x:c r="F11" s="20" t="n">
        <x:v>0</x:v>
      </x:c>
      <x:c r="G11" s="38"/>
      <x:c r="H11" s="20" t="str">
        <x:v>STRUCTURAL_NA</x:v>
      </x:c>
      <x:c r="I11" s="41"/>
      <x:c r="J11" s="20" t="str">
        <x:v>STRUCTURAL_NA</x:v>
      </x:c>
      <x:c r="K11" s="20" t="str">
        <x:v>冻结口径未识别老股转让</x:v>
      </x:c>
      <x:c r="L11" s="20" t="str">
        <x:v>Week 9仍保留摘要级路径警告；Stage 6已用原始发行披露补齐两机构认购比例。</x:v>
      </x:c>
    </x:row>
    <x:row r="12" ht="67" customHeight="1">
      <x:c r="A12" s="27" t="str">
        <x:v>920116</x:v>
      </x:c>
      <x:c r="B12" s="21" t="str">
        <x:v>星图测控</x:v>
      </x:c>
      <x:c r="C12" s="21" t="n">
        <x:v>1</x:v>
      </x:c>
      <x:c r="D12" s="39" t="n">
        <x:v>4725</x:v>
      </x:c>
      <x:c r="E12" s="21" t="str">
        <x:v>VALID</x:v>
      </x:c>
      <x:c r="F12" s="21" t="n">
        <x:v>0</x:v>
      </x:c>
      <x:c r="G12" s="39"/>
      <x:c r="H12" s="21" t="str">
        <x:v>STRUCTURAL_NA</x:v>
      </x:c>
      <x:c r="I12" s="42"/>
      <x:c r="J12" s="21" t="str">
        <x:v>STRUCTURAL_NA</x:v>
      </x:c>
      <x:c r="K12" s="21" t="str">
        <x:v>冻结口径未识别老股转让</x:v>
      </x:c>
      <x:c r="L12" s="21" t="str">
        <x:v>只有1轮融资，时间跨度不适用；投资方人数可计数但仍有名称映射限制。</x:v>
      </x:c>
    </x:row>
  </x:sheetData>
  <x:mergeCells>
    <x:mergeCell ref="A1:L1"/>
    <x:mergeCell ref="A2:L2"/>
  </x:mergeCells>
  <x:conditionalFormatting sqref="J5:J12">
    <x:cfRule type="containsText" dxfId="3" priority="1" operator="containsText" text="NOT_COMPUTABLE"/>
    <x:cfRule type="containsText" dxfId="4" priority="2" operator="containsText" text="STRUCTURAL_NA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9" hidden="0" customWidth="1"/>
    <x:col min="4" max="4" width="18" hidden="0" customWidth="1"/>
    <x:col min="5" max="5" width="18" hidden="0" customWidth="1"/>
    <x:col min="6" max="6" width="24" hidden="0" customWidth="1"/>
    <x:col min="7" max="7" width="20" hidden="0" customWidth="1"/>
    <x:col min="8" max="8" width="22" hidden="0" customWidth="1"/>
    <x:col min="9" max="9" width="23" hidden="0" customWidth="1"/>
    <x:col min="10" max="10" width="18" hidden="0" customWidth="1"/>
    <x:col min="11" max="11" width="21" hidden="0" customWidth="1"/>
    <x:col min="12" max="12" width="18" hidden="0" customWidth="1"/>
    <x:col min="13" max="13" width="110" hidden="0" customWidth="1"/>
  </x:cols>
  <x:sheetData>
    <x:row r="1" ht="30" customHeight="1">
      <x:c r="A1" s="3" t="str">
        <x:v>披露完整度、证据密度与待停止事项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44" customHeight="1">
      <x:c r="A2" s="7" t="str">
        <x:v>质量指标用于控制解释边界，不用于判断公司优劣。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8" customHeight="1">
      <x:c r="A4" s="11" t="str">
        <x:v>公司ID</x:v>
      </x:c>
      <x:c r="B4" s="11" t="str">
        <x:v>公司名称</x:v>
      </x:c>
      <x:c r="C4" s="11" t="str">
        <x:v>金额已知轮数</x:v>
      </x:c>
      <x:c r="D4" s="11" t="str">
        <x:v>金额覆盖率</x:v>
      </x:c>
      <x:c r="E4" s="11" t="str">
        <x:v>日期覆盖率</x:v>
      </x:c>
      <x:c r="F4" s="11" t="str">
        <x:v>计算型金额占比</x:v>
      </x:c>
      <x:c r="G4" s="11" t="str">
        <x:v>每轮证据数</x:v>
      </x:c>
      <x:c r="H4" s="11" t="str">
        <x:v>披露限制标记</x:v>
      </x:c>
      <x:c r="I4" s="11" t="str">
        <x:v>不可计算变量数</x:v>
      </x:c>
      <x:c r="J4" s="11" t="str">
        <x:v>现有路径边</x:v>
      </x:c>
      <x:c r="K4" s="11" t="str">
        <x:v>唯一比例测量</x:v>
      </x:c>
      <x:c r="L4" s="11" t="str">
        <x:v>正式停止项</x:v>
      </x:c>
      <x:c r="M4" s="11" t="str">
        <x:v>解释边界</x:v>
      </x:c>
    </x:row>
    <x:row r="5" ht="72" customHeight="1">
      <x:c r="A5" s="25" t="str">
        <x:v>301563</x:v>
      </x:c>
      <x:c r="B5" s="19" t="str">
        <x:v>云汉芯城</x:v>
      </x:c>
      <x:c r="C5" s="19" t="n">
        <x:v>3</x:v>
      </x:c>
      <x:c r="D5" s="40" t="n">
        <x:v>0.42857142857142855</x:v>
      </x:c>
      <x:c r="E5" s="40" t="n">
        <x:v>0.8571428571428571</x:v>
      </x:c>
      <x:c r="F5" s="40" t="n">
        <x:v>0.6666666666666666</x:v>
      </x:c>
      <x:c r="G5" s="46" t="n">
        <x:v>2.857142857142857</x:v>
      </x:c>
      <x:c r="H5" s="19" t="n">
        <x:v>1</x:v>
      </x:c>
      <x:c r="I5" s="19" t="n">
        <x:v>0</x:v>
      </x:c>
      <x:c r="J5" s="19" t="n">
        <x:v>65</x:v>
      </x:c>
      <x:c r="K5" s="19" t="n">
        <x:v>23</x:v>
      </x:c>
      <x:c r="L5" s="19" t="n">
        <x:v>5</x:v>
      </x:c>
      <x:c r="M5" s="19" t="str">
        <x:v>7轮融资仅3轮披露金额；20笔转让和19个融资主体会显著影响均值；2015 B轮5个主体比例停止。</x:v>
      </x:c>
    </x:row>
    <x:row r="6" ht="72" customHeight="1">
      <x:c r="A6" s="26" t="str">
        <x:v>001282</x:v>
      </x:c>
      <x:c r="B6" s="20" t="str">
        <x:v>三联锻造</x:v>
      </x:c>
      <x:c r="C6" s="20" t="n">
        <x:v>1</x:v>
      </x:c>
      <x:c r="D6" s="41" t="n">
        <x:v>1</x:v>
      </x:c>
      <x:c r="E6" s="41" t="n">
        <x:v>1</x:v>
      </x:c>
      <x:c r="F6" s="41" t="n">
        <x:v>1</x:v>
      </x:c>
      <x:c r="G6" s="47" t="n">
        <x:v>2</x:v>
      </x:c>
      <x:c r="H6" s="20" t="n">
        <x:v>1</x:v>
      </x:c>
      <x:c r="I6" s="20" t="n">
        <x:v>0</x:v>
      </x:c>
      <x:c r="J6" s="20" t="n">
        <x:v>0</x:v>
      </x:c>
      <x:c r="K6" s="20" t="n">
        <x:v>0</x:v>
      </x:c>
      <x:c r="L6" s="20" t="n">
        <x:v>0</x:v>
      </x:c>
      <x:c r="M6" s="20" t="str">
        <x:v>只有1轮已识别融资，融资时间跨度不适用；投资方身份存在名称交叉映射限制。</x:v>
      </x:c>
    </x:row>
    <x:row r="7" ht="72" customHeight="1">
      <x:c r="A7" s="26" t="str">
        <x:v>301581</x:v>
      </x:c>
      <x:c r="B7" s="20" t="str">
        <x:v>黄山谷捷</x:v>
      </x:c>
      <x:c r="C7" s="20" t="n">
        <x:v>2</x:v>
      </x:c>
      <x:c r="D7" s="41" t="n">
        <x:v>1</x:v>
      </x:c>
      <x:c r="E7" s="41" t="n">
        <x:v>1</x:v>
      </x:c>
      <x:c r="F7" s="41" t="n">
        <x:v>1</x:v>
      </x:c>
      <x:c r="G7" s="47" t="n">
        <x:v>1</x:v>
      </x:c>
      <x:c r="H7" s="20" t="n">
        <x:v>0</x:v>
      </x:c>
      <x:c r="I7" s="20" t="n">
        <x:v>0</x:v>
      </x:c>
      <x:c r="J7" s="20" t="n">
        <x:v>0</x:v>
      </x:c>
      <x:c r="K7" s="20" t="n">
        <x:v>0</x:v>
      </x:c>
      <x:c r="L7" s="20" t="n">
        <x:v>0</x:v>
      </x:c>
      <x:c r="M7" s="20" t="str">
        <x:v>投资者名称保留招股书披露简称；1笔转让对价为显式0，不等同缺失。</x:v>
      </x:c>
    </x:row>
    <x:row r="8" ht="72" customHeight="1">
      <x:c r="A8" s="26" t="str">
        <x:v>603418</x:v>
      </x:c>
      <x:c r="B8" s="20" t="str">
        <x:v>友升股份</x:v>
      </x:c>
      <x:c r="C8" s="20" t="n">
        <x:v>2</x:v>
      </x:c>
      <x:c r="D8" s="41" t="n">
        <x:v>1</x:v>
      </x:c>
      <x:c r="E8" s="41" t="n">
        <x:v>1</x:v>
      </x:c>
      <x:c r="F8" s="41" t="n">
        <x:v>0.5</x:v>
      </x:c>
      <x:c r="G8" s="47" t="n">
        <x:v>1.5</x:v>
      </x:c>
      <x:c r="H8" s="20" t="n">
        <x:v>0</x:v>
      </x:c>
      <x:c r="I8" s="20" t="n">
        <x:v>0</x:v>
      </x:c>
      <x:c r="J8" s="20" t="n">
        <x:v>2</x:v>
      </x:c>
      <x:c r="K8" s="20" t="n">
        <x:v>2</x:v>
      </x:c>
      <x:c r="L8" s="20" t="n">
        <x:v>0</x:v>
      </x:c>
      <x:c r="M8" s="20" t="str">
        <x:v>PE/VC融资轮依赖补充party bridge；2020年两机构持股8.97%有原始表格证据。</x:v>
      </x:c>
    </x:row>
    <x:row r="9" ht="72" customHeight="1">
      <x:c r="A9" s="26" t="str">
        <x:v>688758</x:v>
      </x:c>
      <x:c r="B9" s="20" t="str">
        <x:v>赛分科技</x:v>
      </x:c>
      <x:c r="C9" s="20" t="n">
        <x:v>3</x:v>
      </x:c>
      <x:c r="D9" s="41" t="n">
        <x:v>1</x:v>
      </x:c>
      <x:c r="E9" s="41" t="n">
        <x:v>1</x:v>
      </x:c>
      <x:c r="F9" s="41" t="n">
        <x:v>0</x:v>
      </x:c>
      <x:c r="G9" s="47" t="n">
        <x:v>1</x:v>
      </x:c>
      <x:c r="H9" s="20" t="n">
        <x:v>0</x:v>
      </x:c>
      <x:c r="I9" s="20" t="n">
        <x:v>0</x:v>
      </x:c>
      <x:c r="J9" s="20" t="n">
        <x:v>0</x:v>
      </x:c>
      <x:c r="K9" s="20" t="n">
        <x:v>0</x:v>
      </x:c>
      <x:c r="L9" s="20" t="n">
        <x:v>0</x:v>
      </x:c>
      <x:c r="M9" s="20" t="str">
        <x:v>未确认PE/VC不等于没有机构投资；74,000万元是可核验融资下限。</x:v>
      </x:c>
    </x:row>
    <x:row r="10" ht="72" customHeight="1">
      <x:c r="A10" s="26" t="str">
        <x:v>688775</x:v>
      </x:c>
      <x:c r="B10" s="20" t="str">
        <x:v>影石创新</x:v>
      </x:c>
      <x:c r="C10" s="20" t="n">
        <x:v>0</x:v>
      </x:c>
      <x:c r="D10" s="41"/>
      <x:c r="E10" s="41"/>
      <x:c r="F10" s="41"/>
      <x:c r="G10" s="47"/>
      <x:c r="H10" s="20" t="n">
        <x:v>1</x:v>
      </x:c>
      <x:c r="I10" s="20" t="n">
        <x:v>3</x:v>
      </x:c>
      <x:c r="J10" s="20" t="n">
        <x:v>0</x:v>
      </x:c>
      <x:c r="K10" s="20" t="n">
        <x:v>0</x:v>
      </x:c>
      <x:c r="L10" s="20" t="n">
        <x:v>0</x:v>
      </x:c>
      <x:c r="M10" s="20" t="str">
        <x:v>融资历史不可重建；冻结口径0轮不表示从未融资；融资金额和对价比保留null。</x:v>
      </x:c>
    </x:row>
    <x:row r="11" ht="72" customHeight="1">
      <x:c r="A11" s="26" t="str">
        <x:v>920100</x:v>
      </x:c>
      <x:c r="B11" s="20" t="str">
        <x:v>三协电机</x:v>
      </x:c>
      <x:c r="C11" s="20" t="n">
        <x:v>2</x:v>
      </x:c>
      <x:c r="D11" s="41" t="n">
        <x:v>1</x:v>
      </x:c>
      <x:c r="E11" s="41" t="n">
        <x:v>1</x:v>
      </x:c>
      <x:c r="F11" s="41" t="n">
        <x:v>0</x:v>
      </x:c>
      <x:c r="G11" s="47" t="n">
        <x:v>0</x:v>
      </x:c>
      <x:c r="H11" s="20" t="n">
        <x:v>0</x:v>
      </x:c>
      <x:c r="I11" s="20" t="n">
        <x:v>0</x:v>
      </x:c>
      <x:c r="J11" s="20" t="n">
        <x:v>2</x:v>
      </x:c>
      <x:c r="K11" s="20" t="n">
        <x:v>2</x:v>
      </x:c>
      <x:c r="L11" s="20" t="n">
        <x:v>0</x:v>
      </x:c>
      <x:c r="M11" s="20" t="str">
        <x:v>Week 9仍保留摘要级路径警告；Stage 6已用原始发行披露补齐两机构认购比例。</x:v>
      </x:c>
    </x:row>
    <x:row r="12" ht="72" customHeight="1">
      <x:c r="A12" s="27" t="str">
        <x:v>920116</x:v>
      </x:c>
      <x:c r="B12" s="21" t="str">
        <x:v>星图测控</x:v>
      </x:c>
      <x:c r="C12" s="21" t="n">
        <x:v>1</x:v>
      </x:c>
      <x:c r="D12" s="42" t="n">
        <x:v>1</x:v>
      </x:c>
      <x:c r="E12" s="42" t="n">
        <x:v>1</x:v>
      </x:c>
      <x:c r="F12" s="42" t="n">
        <x:v>0</x:v>
      </x:c>
      <x:c r="G12" s="48" t="n">
        <x:v>5</x:v>
      </x:c>
      <x:c r="H12" s="21" t="n">
        <x:v>0</x:v>
      </x:c>
      <x:c r="I12" s="21" t="n">
        <x:v>0</x:v>
      </x:c>
      <x:c r="J12" s="21" t="n">
        <x:v>0</x:v>
      </x:c>
      <x:c r="K12" s="21" t="n">
        <x:v>0</x:v>
      </x:c>
      <x:c r="L12" s="21" t="n">
        <x:v>0</x:v>
      </x:c>
      <x:c r="M12" s="21" t="str">
        <x:v>只有1轮融资，时间跨度不适用；投资方人数可计数但仍有名称映射限制。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9" hidden="0" customWidth="1"/>
    <x:col min="3" max="3" width="17" hidden="0" customWidth="1"/>
    <x:col min="4" max="4" width="23" hidden="0" customWidth="1"/>
    <x:col min="5" max="5" width="19" hidden="0" customWidth="1"/>
    <x:col min="6" max="6" width="31" hidden="0" customWidth="1"/>
    <x:col min="7" max="7" width="27" hidden="0" customWidth="1"/>
    <x:col min="8" max="8" width="28" hidden="0" customWidth="1"/>
    <x:col min="9" max="9" width="26" hidden="0" customWidth="1"/>
    <x:col min="10" max="10" width="82" hidden="0" customWidth="1"/>
  </x:cols>
  <x:sheetData>
    <x:row r="1" ht="30" customHeight="1">
      <x:c r="A1" s="3" t="str">
        <x:v>PE/VC有无的探索性分组比较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44" customHeight="1">
      <x:c r="A2" s="7" t="str">
        <x:v>所有指标由八家公司画像表计算；3对5分组不做显著性检验、因果推断或总体外推。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8" customHeight="1">
      <x:c r="A4" s="11" t="str">
        <x:v>分组</x:v>
      </x:c>
      <x:c r="B4" s="11" t="str">
        <x:v>PE/VC标记</x:v>
      </x:c>
      <x:c r="C4" s="11" t="str">
        <x:v>公司数</x:v>
      </x:c>
      <x:c r="D4" s="11" t="str">
        <x:v>平均融资轮数</x:v>
      </x:c>
      <x:c r="E4" s="11" t="str">
        <x:v>金额有效N</x:v>
      </x:c>
      <x:c r="F4" s="11" t="str">
        <x:v>平均融资下限(万元)</x:v>
      </x:c>
      <x:c r="G4" s="11" t="str">
        <x:v>平均直接主体数</x:v>
      </x:c>
      <x:c r="H4" s="11" t="str">
        <x:v>平均融资投资方数</x:v>
      </x:c>
      <x:c r="I4" s="11" t="str">
        <x:v>平均老股转让数</x:v>
      </x:c>
      <x:c r="J4" s="11" t="str">
        <x:v>解释边界</x:v>
      </x:c>
    </x:row>
    <x:row r="5" ht="62" customHeight="1">
      <x:c r="A5" s="19" t="str">
        <x:v>确认PE/VC公司</x:v>
      </x:c>
      <x:c r="B5" s="19" t="n">
        <x:v>1</x:v>
      </x:c>
      <x:c r="C5" s="19" t="n">
        <x:f>COUNTIF('八公司研究画像'!$G$5:$G$12,B5)</x:f>
        <x:v>3</x:v>
      </x:c>
      <x:c r="D5" s="46" t="n">
        <x:f>AVERAGEIF('八公司研究画像'!$G$5:$G$12,B5,'八公司研究画像'!$D$5:$D$12)</x:f>
        <x:v>3.6666666666666665</x:v>
      </x:c>
      <x:c r="E5" s="19" t="n">
        <x:f>COUNTIFS('八公司研究画像'!$G$5:$G$12,B5,'八公司研究画像'!$F$5:$F$12,"VALID")</x:f>
        <x:v>3</x:v>
      </x:c>
      <x:c r="F5" s="37" t="n">
        <x:f>IF(E5=0,"",SUMIF('八公司研究画像'!$G$5:$G$12,B5,'八公司研究画像'!$E$5:$E$12)/E5)</x:f>
        <x:v>26572.49666666667</x:v>
      </x:c>
      <x:c r="G5" s="37" t="n">
        <x:f>AVERAGEIF('八公司研究画像'!$G$5:$G$12,B5,'八公司研究画像'!$L$5:$L$12)</x:f>
        <x:v>21.666666666666668</x:v>
      </x:c>
      <x:c r="H5" s="37" t="n">
        <x:f>AVERAGEIF('八公司研究画像'!$G$5:$G$12,B5,'八公司研究画像'!$M$5:$M$12)</x:f>
        <x:v>7.666666666666667</x:v>
      </x:c>
      <x:c r="I5" s="37" t="n">
        <x:f>AVERAGEIF('八公司研究画像'!$G$5:$G$12,B5,'八公司研究画像'!$N$5:$N$12)</x:f>
        <x:v>6.666666666666667</x:v>
      </x:c>
      <x:c r="J5" s="19" t="str">
        <x:v>3家公司；只能形成研究假设</x:v>
      </x:c>
    </x:row>
    <x:row r="6" ht="62" customHeight="1">
      <x:c r="A6" s="21" t="str">
        <x:v>未确认PE/VC公司</x:v>
      </x:c>
      <x:c r="B6" s="21" t="n">
        <x:v>0</x:v>
      </x:c>
      <x:c r="C6" s="21" t="n">
        <x:f>COUNTIF('八公司研究画像'!$G$5:$G$12,B6)</x:f>
        <x:v>5</x:v>
      </x:c>
      <x:c r="D6" s="48" t="n">
        <x:f>AVERAGEIF('八公司研究画像'!$G$5:$G$12,B6,'八公司研究画像'!$D$5:$D$12)</x:f>
        <x:v>1.4</x:v>
      </x:c>
      <x:c r="E6" s="21" t="n">
        <x:f>COUNTIFS('八公司研究画像'!$G$5:$G$12,B6,'八公司研究画像'!$F$5:$F$12,"VALID")</x:f>
        <x:v>4</x:v>
      </x:c>
      <x:c r="F6" s="39" t="n">
        <x:f>IF(E6=0,"",SUMIF('八公司研究画像'!$G$5:$G$12,B6,'八公司研究画像'!$E$5:$E$12)/E6)</x:f>
        <x:v>23486.5245685</x:v>
      </x:c>
      <x:c r="G6" s="39" t="n">
        <x:f>AVERAGEIF('八公司研究画像'!$G$5:$G$12,B6,'八公司研究画像'!$L$5:$L$12)</x:f>
        <x:v>5.6</x:v>
      </x:c>
      <x:c r="H6" s="39" t="n">
        <x:f>AVERAGEIF('八公司研究画像'!$G$5:$G$12,B6,'八公司研究画像'!$M$5:$M$12)</x:f>
        <x:v>1.8</x:v>
      </x:c>
      <x:c r="I6" s="39" t="n">
        <x:f>AVERAGEIF('八公司研究画像'!$G$5:$G$12,B6,'八公司研究画像'!$N$5:$N$12)</x:f>
        <x:v>0.8</x:v>
      </x:c>
      <x:c r="J6" s="21" t="str">
        <x:v>5家公司；0代表现有口径未确认</x:v>
      </x:c>
    </x:row>
    <x:row r="9" ht="40" customHeight="1">
      <x:c r="A9" s="24" t="str">
        <x:v>解读：PE/VC组融资轮数、投资者数量和转让次数更高，但云汉芯城同时具有7轮融资、19个融资投资方和20笔转让，因此必须结合‘云汉个案敏感性’页面阅读。</x:v>
      </x:c>
      <x:c r="B9" s="24"/>
      <x:c r="C9" s="24"/>
      <x:c r="D9" s="24"/>
      <x:c r="E9" s="24"/>
      <x:c r="F9" s="24"/>
      <x:c r="G9" s="24"/>
      <x:c r="H9" s="24"/>
      <x:c r="I9" s="24"/>
      <x:c r="J9" s="24"/>
    </x:row>
    <x:row r="10" ht="40" customHeight="1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</x:row>
  </x:sheetData>
  <x:mergeCells>
    <x:mergeCell ref="A1:J1"/>
    <x:mergeCell ref="A2:J2"/>
    <x:mergeCell ref="A9:J1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8" hidden="0" customWidth="1"/>
    <x:col min="3" max="3" width="17" hidden="0" customWidth="1"/>
    <x:col min="4" max="4" width="24" hidden="0" customWidth="1"/>
    <x:col min="5" max="5" width="19" hidden="0" customWidth="1"/>
    <x:col min="6" max="6" width="31" hidden="0" customWidth="1"/>
    <x:col min="7" max="7" width="30" hidden="0" customWidth="1"/>
    <x:col min="8" max="8" width="28" hidden="0" customWidth="1"/>
    <x:col min="9" max="9" width="69" hidden="0" customWidth="1"/>
  </x:cols>
  <x:sheetData>
    <x:row r="1" ht="30" customHeight="1">
      <x:c r="A1" s="3" t="str">
        <x:v>云汉芯城单一公司影响敏感性</x:v>
      </x:c>
      <x:c r="B1" s="3"/>
      <x:c r="C1" s="3"/>
      <x:c r="D1" s="3"/>
      <x:c r="E1" s="3"/>
      <x:c r="F1" s="3"/>
      <x:c r="G1" s="3"/>
      <x:c r="H1" s="3"/>
      <x:c r="I1" s="3"/>
    </x:row>
    <x:row r="2" ht="44" customHeight="1">
      <x:c r="A2" s="7" t="str">
        <x:v>蓝色单元格为可编辑的排除公司ID；比较全PE/VC组、剔除该公司后的PE/VC组与未确认PE/VC组。</x:v>
      </x:c>
      <x:c r="B2" s="7"/>
      <x:c r="C2" s="7"/>
      <x:c r="D2" s="7"/>
      <x:c r="E2" s="7"/>
      <x:c r="F2" s="7"/>
      <x:c r="G2" s="7"/>
      <x:c r="H2" s="7"/>
      <x:c r="I2" s="7"/>
    </x:row>
    <x:row r="4">
      <x:c r="A4" t="str">
        <x:v>排除公司ID</x:v>
      </x:c>
      <x:c r="B4" s="50" t="str">
        <x:v>301563</x:v>
      </x:c>
    </x:row>
    <x:row r="6" ht="38" customHeight="1">
      <x:c r="A6" s="11" t="str">
        <x:v>分组</x:v>
      </x:c>
      <x:c r="B6" s="11" t="str">
        <x:v>PE/VC标记</x:v>
      </x:c>
      <x:c r="C6" s="11" t="str">
        <x:v>公司数</x:v>
      </x:c>
      <x:c r="D6" s="11" t="str">
        <x:v>平均融资轮数</x:v>
      </x:c>
      <x:c r="E6" s="11" t="str">
        <x:v>金额有效N</x:v>
      </x:c>
      <x:c r="F6" s="11" t="str">
        <x:v>平均融资下限(万元)</x:v>
      </x:c>
      <x:c r="G6" s="11" t="str">
        <x:v>平均融资投资方数</x:v>
      </x:c>
      <x:c r="H6" s="11" t="str">
        <x:v>平均老股转让数</x:v>
      </x:c>
      <x:c r="I6" s="11" t="str">
        <x:v>说明</x:v>
      </x:c>
    </x:row>
    <x:row r="7" ht="68" customHeight="1">
      <x:c r="A7" s="19" t="str">
        <x:v>完整PE/VC组</x:v>
      </x:c>
      <x:c r="B7" s="19" t="n">
        <x:v>1</x:v>
      </x:c>
      <x:c r="C7" s="19" t="n">
        <x:f>COUNTIF('八公司研究画像'!$G$5:$G$12,B7)</x:f>
        <x:v>3</x:v>
      </x:c>
      <x:c r="D7" s="37" t="n">
        <x:f>AVERAGEIF('八公司研究画像'!$G$5:$G$12,B7,'八公司研究画像'!$D$5:$D$12)</x:f>
        <x:v>3.6666666666666665</x:v>
      </x:c>
      <x:c r="E7" s="37" t="n">
        <x:f>COUNTIFS('八公司研究画像'!$G$5:$G$12,B7,'八公司研究画像'!$F$5:$F$12,"VALID")</x:f>
        <x:v>3</x:v>
      </x:c>
      <x:c r="F7" s="37" t="n">
        <x:f>IF(E7=0,"",SUMIF('八公司研究画像'!$G$5:$G$12,B7,'八公司研究画像'!$E$5:$E$12)/E7)</x:f>
        <x:v>26572.49666666667</x:v>
      </x:c>
      <x:c r="G7" s="37" t="n">
        <x:f>AVERAGEIF('八公司研究画像'!$G$5:$G$12,B7,'八公司研究画像'!$M$5:$M$12)</x:f>
        <x:v>7.666666666666667</x:v>
      </x:c>
      <x:c r="H7" s="37" t="n">
        <x:f>AVERAGEIF('八公司研究画像'!$G$5:$G$12,B7,'八公司研究画像'!$N$5:$N$12)</x:f>
        <x:v>6.666666666666667</x:v>
      </x:c>
      <x:c r="I7" s="19" t="str">
        <x:v>含云汉芯城</x:v>
      </x:c>
    </x:row>
    <x:row r="8" ht="68" customHeight="1">
      <x:c r="A8" s="20" t="str">
        <x:v>排除指定公司后的PE/VC组</x:v>
      </x:c>
      <x:c r="B8" s="20" t="n">
        <x:v>1</x:v>
      </x:c>
      <x:c r="C8" s="20" t="n">
        <x:f>COUNTIFS('八公司研究画像'!$G$5:$G$12,B8,'八公司研究画像'!$A$5:$A$12,"&lt;&gt;"&amp;$B$4)</x:f>
        <x:v>2</x:v>
      </x:c>
      <x:c r="D8" s="38" t="n">
        <x:f>AVERAGEIFS('八公司研究画像'!$D$5:$D$12,'八公司研究画像'!$G$5:$G$12,B8,'八公司研究画像'!$A$5:$A$12,"&lt;&gt;"&amp;$B$4)</x:f>
        <x:v>2</x:v>
      </x:c>
      <x:c r="E8" s="38" t="n">
        <x:f>COUNTIFS('八公司研究画像'!$G$5:$G$12,B8,'八公司研究画像'!$F$5:$F$12,"VALID",'八公司研究画像'!$A$5:$A$12,"&lt;&gt;"&amp;$B$4)</x:f>
        <x:v>2</x:v>
      </x:c>
      <x:c r="F8" s="38" t="n">
        <x:f>IF(E8=0,"",SUMIFS('八公司研究画像'!$E$5:$E$12,'八公司研究画像'!$G$5:$G$12,B8,'八公司研究画像'!$A$5:$A$12,"&lt;&gt;"&amp;$B$4)/E8)</x:f>
        <x:v>26298.745</x:v>
      </x:c>
      <x:c r="G8" s="38" t="n">
        <x:f>AVERAGEIFS('八公司研究画像'!$M$5:$M$12,'八公司研究画像'!$G$5:$G$12,B8,'八公司研究画像'!$A$5:$A$12,"&lt;&gt;"&amp;$B$4)</x:f>
        <x:v>2</x:v>
      </x:c>
      <x:c r="H8" s="38" t="n">
        <x:f>AVERAGEIFS('八公司研究画像'!$N$5:$N$12,'八公司研究画像'!$G$5:$G$12,B8,'八公司研究画像'!$A$5:$A$12,"&lt;&gt;"&amp;$B$4)</x:f>
        <x:v>0</x:v>
      </x:c>
      <x:c r="I8" s="20" t="str">
        <x:v>排除B4公司</x:v>
      </x:c>
    </x:row>
    <x:row r="9" ht="68" customHeight="1">
      <x:c r="A9" s="21" t="str">
        <x:v>未确认PE/VC对照组</x:v>
      </x:c>
      <x:c r="B9" s="21" t="n">
        <x:v>0</x:v>
      </x:c>
      <x:c r="C9" s="21" t="n">
        <x:f>COUNTIF('八公司研究画像'!$G$5:$G$12,B9)</x:f>
        <x:v>5</x:v>
      </x:c>
      <x:c r="D9" s="39" t="n">
        <x:f>AVERAGEIF('八公司研究画像'!$G$5:$G$12,B9,'八公司研究画像'!$D$5:$D$12)</x:f>
        <x:v>1.4</x:v>
      </x:c>
      <x:c r="E9" s="39" t="n">
        <x:f>COUNTIFS('八公司研究画像'!$G$5:$G$12,B9,'八公司研究画像'!$F$5:$F$12,"VALID")</x:f>
        <x:v>4</x:v>
      </x:c>
      <x:c r="F9" s="39" t="n">
        <x:f>IF(E9=0,"",SUMIF('八公司研究画像'!$G$5:$G$12,B9,'八公司研究画像'!$E$5:$E$12)/E9)</x:f>
        <x:v>23486.5245685</x:v>
      </x:c>
      <x:c r="G9" s="39" t="n">
        <x:f>AVERAGEIF('八公司研究画像'!$G$5:$G$12,B9,'八公司研究画像'!$M$5:$M$12)</x:f>
        <x:v>1.8</x:v>
      </x:c>
      <x:c r="H9" s="39" t="n">
        <x:f>AVERAGEIF('八公司研究画像'!$G$5:$G$12,B9,'八公司研究画像'!$N$5:$N$12)</x:f>
        <x:v>0.8</x:v>
      </x:c>
      <x:c r="I9" s="21" t="str">
        <x:v>保持原5家公司</x:v>
      </x:c>
    </x:row>
    <x:row r="12" ht="45" customHeight="1">
      <x:c r="A12" s="24" t="str">
        <x:v>观察重点：剔除云汉芯城后，PE/VC组平均融资投资方数由7.67降至2.00，与未确认组1.80接近；平均老股转让数由6.67降至0.00，低于对照组0.80，说明原先转让差异由单一公司主导。</x:v>
      </x:c>
      <x:c r="B12" s="24"/>
      <x:c r="C12" s="24"/>
      <x:c r="D12" s="24"/>
      <x:c r="E12" s="24"/>
      <x:c r="F12" s="24"/>
      <x:c r="G12" s="24"/>
      <x:c r="H12" s="24"/>
      <x:c r="I12" s="24"/>
    </x:row>
    <x:row r="13" ht="45" customHeight="1">
      <x:c r="A13" s="24"/>
      <x:c r="B13" s="24"/>
      <x:c r="C13" s="24"/>
      <x:c r="D13" s="24"/>
      <x:c r="E13" s="24"/>
      <x:c r="F13" s="24"/>
      <x:c r="G13" s="24"/>
      <x:c r="H13" s="24"/>
      <x:c r="I13" s="24"/>
    </x:row>
  </x:sheetData>
  <x:mergeCells>
    <x:mergeCell ref="A1:I1"/>
    <x:mergeCell ref="A2:I2"/>
    <x:mergeCell ref="A12:I1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5" hidden="0" customWidth="1"/>
    <x:col min="3" max="3" width="33" hidden="0" customWidth="1"/>
    <x:col min="4" max="4" width="21" hidden="0" customWidth="1"/>
    <x:col min="5" max="5" width="18" hidden="0" customWidth="1"/>
    <x:col min="6" max="6" width="82" hidden="0" customWidth="1"/>
    <x:col min="7" max="7" width="92" hidden="0" customWidth="1"/>
    <x:col min="8" max="8" width="40" hidden="0" customWidth="1"/>
    <x:col min="9" max="9" width="83" hidden="0" customWidth="1"/>
  </x:cols>
  <x:sheetData>
    <x:row r="1" ht="30" customHeight="1">
      <x:c r="A1" s="3" t="str">
        <x:v>三家确认PE/VC公司的交易事件案例</x:v>
      </x:c>
      <x:c r="B1" s="3"/>
      <x:c r="C1" s="3"/>
      <x:c r="D1" s="3"/>
      <x:c r="E1" s="3"/>
      <x:c r="F1" s="3"/>
      <x:c r="G1" s="3"/>
      <x:c r="H1" s="3"/>
      <x:c r="I1" s="3"/>
    </x:row>
    <x:row r="2" ht="44" customHeight="1">
      <x:c r="A2" s="7" t="str">
        <x:v>包含5条证据闭合的确认PE/VC合计记录，以及1条只能单独解释的丰利财富关联主体记录。</x:v>
      </x:c>
      <x:c r="B2" s="7"/>
      <x:c r="C2" s="7"/>
      <x:c r="D2" s="7"/>
      <x:c r="E2" s="7"/>
      <x:c r="F2" s="7"/>
      <x:c r="G2" s="7"/>
      <x:c r="H2" s="7"/>
      <x:c r="I2" s="7"/>
    </x:row>
    <x:row r="4" ht="38" customHeight="1">
      <x:c r="A4" s="11" t="str">
        <x:v>公司</x:v>
      </x:c>
      <x:c r="B4" s="11" t="str">
        <x:v>交易/轮次</x:v>
      </x:c>
      <x:c r="C4" s="11" t="str">
        <x:v>事件口径</x:v>
      </x:c>
      <x:c r="D4" s="11" t="str">
        <x:v>交易后比例</x:v>
      </x:c>
      <x:c r="E4" s="11" t="str">
        <x:v>投资者数</x:v>
      </x:c>
      <x:c r="F4" s="11" t="str">
        <x:v>比例构成</x:v>
      </x:c>
      <x:c r="G4" s="11" t="str">
        <x:v>证据边界</x:v>
      </x:c>
      <x:c r="H4" s="11" t="str">
        <x:v>状态</x:v>
      </x:c>
      <x:c r="I4" s="11" t="str">
        <x:v>当前用途</x:v>
      </x:c>
    </x:row>
    <x:row r="5" ht="77" customHeight="1">
      <x:c r="A5" s="19" t="str">
        <x:v>云汉芯城</x:v>
      </x:c>
      <x:c r="B5" s="19" t="str">
        <x:v>2014首次共同增资</x:v>
      </x:c>
      <x:c r="C5" s="19" t="str">
        <x:v>CE-004</x:v>
      </x:c>
      <x:c r="D5" s="51" t="n">
        <x:v>0.11</x:v>
      </x:c>
      <x:c r="E5" s="19" t="n">
        <x:v>2</x:v>
      </x:c>
      <x:c r="F5" s="19" t="str">
        <x:v>东方富海5.5%+芜湖富海浩研5.5%</x:v>
      </x:c>
      <x:c r="G5" s="19" t="str">
        <x:v>确认PE/VC合计；力源信息11%另列为产业/战略投资者</x:v>
      </x:c>
      <x:c r="H5" s="19" t="str">
        <x:v>READY_FOR_CASE_ANALYSIS</x:v>
      </x:c>
      <x:c r="I5" s="19" t="str">
        <x:v>可用于同轮PE/VC案例</x:v>
      </x:c>
    </x:row>
    <x:row r="6" ht="77" customHeight="1">
      <x:c r="A6" s="20" t="str">
        <x:v>云汉芯城</x:v>
      </x:c>
      <x:c r="B6" s="20" t="str">
        <x:v>2014第二次共同增资</x:v>
      </x:c>
      <x:c r="C6" s="20" t="str">
        <x:v>CE-005</x:v>
      </x:c>
      <x:c r="D6" s="52" t="n">
        <x:v>0.135</x:v>
      </x:c>
      <x:c r="E6" s="20" t="n">
        <x:v>2</x:v>
      </x:c>
      <x:c r="F6" s="20" t="str">
        <x:v>东方富海6.75%+芜湖富海浩研6.75%</x:v>
      </x:c>
      <x:c r="G6" s="20" t="str">
        <x:v>确认PE/VC合计；力源信息13.5%不并入</x:v>
      </x:c>
      <x:c r="H6" s="20" t="str">
        <x:v>READY_FOR_CASE_ANALYSIS</x:v>
      </x:c>
      <x:c r="I6" s="20" t="str">
        <x:v>可用于同轮PE/VC案例</x:v>
      </x:c>
    </x:row>
    <x:row r="7" ht="77" customHeight="1">
      <x:c r="A7" s="20" t="str">
        <x:v>云汉芯城</x:v>
      </x:c>
      <x:c r="B7" s="20" t="str">
        <x:v>2015 B轮</x:v>
      </x:c>
      <x:c r="C7" s="20" t="str">
        <x:v>CE-007</x:v>
      </x:c>
      <x:c r="D7" s="52" t="n">
        <x:v>0.016667</x:v>
      </x:c>
      <x:c r="E7" s="20" t="n">
        <x:v>1</x:v>
      </x:c>
      <x:c r="F7" s="20" t="str">
        <x:v>仅丰利财富（PEVC_RELATED）1.6667%</x:v>
      </x:c>
      <x:c r="G7" s="20" t="str">
        <x:v>不是确认PE/VC合计，其他5家仍停止</x:v>
      </x:c>
      <x:c r="H7" s="20" t="str">
        <x:v>PARTIAL_RELATED_CAPITAL_ONLY</x:v>
      </x:c>
      <x:c r="I7" s="20" t="str">
        <x:v>只保留关联主体个体比例，不并入确认PE/VC合计</x:v>
      </x:c>
    </x:row>
    <x:row r="8" ht="77" customHeight="1">
      <x:c r="A8" s="20" t="str">
        <x:v>云汉芯城</x:v>
      </x:c>
      <x:c r="B8" s="20" t="str">
        <x:v>2018年6—7月交易</x:v>
      </x:c>
      <x:c r="C8" s="20" t="str">
        <x:v>CE-010-01/03</x:v>
      </x:c>
      <x:c r="D8" s="52" t="n">
        <x:v>0.1132</x:v>
      </x:c>
      <x:c r="E8" s="20" t="n">
        <x:v>6</x:v>
      </x:c>
      <x:c r="F8" s="20" t="str">
        <x:v>六家确认PE/VC比例合计</x:v>
      </x:c>
      <x:c r="G8" s="20" t="str">
        <x:v>不含候选及非PE/VC投资者</x:v>
      </x:c>
      <x:c r="H8" s="20" t="str">
        <x:v>READY_FOR_CASE_ANALYSIS</x:v>
      </x:c>
      <x:c r="I8" s="20" t="str">
        <x:v>可用于同轮PE/VC案例</x:v>
      </x:c>
    </x:row>
    <x:row r="9" ht="77" customHeight="1">
      <x:c r="A9" s="20" t="str">
        <x:v>友升股份</x:v>
      </x:c>
      <x:c r="B9" s="20" t="str">
        <x:v>2020年9月增资</x:v>
      </x:c>
      <x:c r="C9" s="20" t="str">
        <x:v>EVT-603418-0003</x:v>
      </x:c>
      <x:c r="D9" s="52" t="n">
        <x:v>0.0897</x:v>
      </x:c>
      <x:c r="E9" s="20" t="n">
        <x:v>2</x:v>
      </x:c>
      <x:c r="F9" s="20" t="str">
        <x:v>金浦临港6.28%+金浦科创2.69%</x:v>
      </x:c>
      <x:c r="G9" s="20" t="str">
        <x:v>同一交易后时点</x:v>
      </x:c>
      <x:c r="H9" s="20" t="str">
        <x:v>READY_FOR_CASE_ANALYSIS</x:v>
      </x:c>
      <x:c r="I9" s="20" t="str">
        <x:v>可用于同轮PE/VC案例</x:v>
      </x:c>
    </x:row>
    <x:row r="10" ht="77" customHeight="1">
      <x:c r="A10" s="21" t="str">
        <x:v>三协电机</x:v>
      </x:c>
      <x:c r="B10" s="21" t="str">
        <x:v>2022年定向发行</x:v>
      </x:c>
      <x:c r="C10" s="21" t="str">
        <x:v>W7-OVR-920100-2022-DI</x:v>
      </x:c>
      <x:c r="D10" s="53" t="n">
        <x:v>0.150142</x:v>
      </x:c>
      <x:c r="E10" s="21" t="n">
        <x:v>2</x:v>
      </x:c>
      <x:c r="F10" s="21" t="str">
        <x:v>稳正景明9.9909%+稳正长泽5.0233%</x:v>
      </x:c>
      <x:c r="G10" s="21" t="str">
        <x:v>披露比例之和15.0142%；股数精确合计为530万股</x:v>
      </x:c>
      <x:c r="H10" s="21" t="str">
        <x:v>READY_FOR_CASE_ANALYSIS</x:v>
      </x:c>
      <x:c r="I10" s="21" t="str">
        <x:v>可用于同轮PE/VC案例</x:v>
      </x:c>
    </x:row>
  </x:sheetData>
  <x:mergeCells>
    <x:mergeCell ref="A1:I1"/>
    <x:mergeCell ref="A2:I2"/>
  </x:mergeCells>
  <x:conditionalFormatting sqref="H5:H10">
    <x:cfRule type="containsText" dxfId="5" priority="1" operator="containsText" text="READY"/>
    <x:cfRule type="containsText" dxfId="6" priority="2" operator="containsText" text="PARTIAL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40" hidden="0" customWidth="1"/>
    <x:col min="4" max="4" width="110" hidden="0" customWidth="1"/>
    <x:col min="5" max="5" width="110" hidden="0" customWidth="1"/>
    <x:col min="6" max="6" width="110" hidden="0" customWidth="1"/>
  </x:cols>
  <x:sheetData>
    <x:row r="1" ht="30" customHeight="1">
      <x:c r="A1" s="3" t="str">
        <x:v>八家公司逐一文字画像</x:v>
      </x:c>
      <x:c r="B1" s="3"/>
      <x:c r="C1" s="3"/>
      <x:c r="D1" s="3"/>
      <x:c r="E1" s="3"/>
      <x:c r="F1" s="3"/>
    </x:row>
    <x:row r="2" ht="44" customHeight="1">
      <x:c r="A2" s="7" t="str">
        <x:v>全部样本均有画像；三家PE/VC公司仅因证据可用进入专项案例，不被称为代表性公司。</x:v>
      </x:c>
      <x:c r="B2" s="7"/>
      <x:c r="C2" s="7"/>
      <x:c r="D2" s="7"/>
      <x:c r="E2" s="7"/>
      <x:c r="F2" s="7"/>
    </x:row>
    <x:row r="4" ht="38" customHeight="1">
      <x:c r="A4" s="11" t="str">
        <x:v>公司ID</x:v>
      </x:c>
      <x:c r="B4" s="11" t="str">
        <x:v>公司名称</x:v>
      </x:c>
      <x:c r="C4" s="11" t="str">
        <x:v>画像主题</x:v>
      </x:c>
      <x:c r="D4" s="11" t="str">
        <x:v>已确认事实</x:v>
      </x:c>
      <x:c r="E4" s="11" t="str">
        <x:v>可使用的研究/商业信息</x:v>
      </x:c>
      <x:c r="F4" s="11" t="str">
        <x:v>不可省略的边界</x:v>
      </x:c>
    </x:row>
    <x:row r="5" ht="95" customHeight="1">
      <x:c r="A5" s="25" t="str">
        <x:v>301563</x:v>
      </x:c>
      <x:c r="B5" s="19" t="str">
        <x:v>云汉芯城</x:v>
      </x:c>
      <x:c r="C5" s="19" t="str">
        <x:v>复杂融资与共投路径</x:v>
      </x:c>
      <x:c r="D5" s="19" t="str">
        <x:v>7轮融资、12个确认PE/VC法律主体、5轮有PE/VC、19个融资投资方、20笔股权转让。</x:v>
      </x:c>
      <x:c r="E5" s="19" t="str">
        <x:v>2014首次和二次增资确认PE/VC分别合计11%、13.5%；2018年相关交易合计11.32%。</x:v>
      </x:c>
      <x:c r="F5" s="19" t="str">
        <x:v>已知融资金额27,120万元只覆盖3/7轮；2015 B轮另有5个主体比例无法闭合。</x:v>
      </x:c>
    </x:row>
    <x:row r="6" ht="95" customHeight="1">
      <x:c r="A6" s="26" t="str">
        <x:v>001282</x:v>
      </x:c>
      <x:c r="B6" s="20" t="str">
        <x:v>三联锻造</x:v>
      </x:c>
      <x:c r="C6" s="20" t="str">
        <x:v>单轮融资公司</x:v>
      </x:c>
      <x:c r="D6" s="20" t="str">
        <x:v>识别1轮融资，融资金额下限1,566万元，1个直接主体，未确认PE/VC和老股转让。</x:v>
      </x:c>
      <x:c r="E6" s="20" t="str">
        <x:v>可用于单轮融资、投资者结构和披露边界的对照。</x:v>
      </x:c>
      <x:c r="F6" s="20" t="str">
        <x:v>1轮无法计算融资跨度；名称映射与披露限制必须保留。</x:v>
      </x:c>
    </x:row>
    <x:row r="7" ht="95" customHeight="1">
      <x:c r="A7" s="26" t="str">
        <x:v>301581</x:v>
      </x:c>
      <x:c r="B7" s="20" t="str">
        <x:v>黄山谷捷</x:v>
      </x:c>
      <x:c r="C7" s="20" t="str">
        <x:v>两轮融资与零对价转让</x:v>
      </x:c>
      <x:c r="D7" s="20" t="str">
        <x:v>2轮融资、已知融资下限13,655.10万元，3个融资投资方，1笔股权转让。</x:v>
      </x:c>
      <x:c r="E7" s="20" t="str">
        <x:v>可用于融资参与密度和显式零对价交易案例。</x:v>
      </x:c>
      <x:c r="F7" s="20" t="str">
        <x:v>投资者名称使用披露简称；零对价是显式0，不是未披露。</x:v>
      </x:c>
    </x:row>
    <x:row r="8" ht="95" customHeight="1">
      <x:c r="A8" s="26" t="str">
        <x:v>603418</x:v>
      </x:c>
      <x:c r="B8" s="20" t="str">
        <x:v>友升股份</x:v>
      </x:c>
      <x:c r="C8" s="20" t="str">
        <x:v>两轮融资与同轮PE/VC共投</x:v>
      </x:c>
      <x:c r="D8" s="20" t="str">
        <x:v>2轮融资、融资下限48,500万元，2020年两家确认PE/VC共同进入。</x:v>
      </x:c>
      <x:c r="E8" s="20" t="str">
        <x:v>金浦临港6.28%、金浦科创2.69%，同轮确认PE/VC合计8.97%。</x:v>
      </x:c>
      <x:c r="F8" s="20" t="str">
        <x:v>PE/VC轮次桥接来自研究补充层；只解释该交易时点。</x:v>
      </x:c>
    </x:row>
    <x:row r="9" ht="95" customHeight="1">
      <x:c r="A9" s="26" t="str">
        <x:v>688758</x:v>
      </x:c>
      <x:c r="B9" s="20" t="str">
        <x:v>赛分科技</x:v>
      </x:c>
      <x:c r="C9" s="20" t="str">
        <x:v>高已知融资额与老股转让</x:v>
      </x:c>
      <x:c r="D9" s="20" t="str">
        <x:v>3轮融资，已知融资下限74,000万元，2笔股权转让，转让对价下限3,000万元。</x:v>
      </x:c>
      <x:c r="E9" s="20" t="str">
        <x:v>可用于已知融资规模、转让金额及两类交易区分。</x:v>
      </x:c>
      <x:c r="F9" s="20" t="str">
        <x:v>未确认PE/VC只代表现有证据未确认，不代表不存在其他机构。</x:v>
      </x:c>
    </x:row>
    <x:row r="10" ht="95" customHeight="1">
      <x:c r="A10" s="26" t="str">
        <x:v>688775</x:v>
      </x:c>
      <x:c r="B10" s="20" t="str">
        <x:v>影石创新</x:v>
      </x:c>
      <x:c r="C10" s="20" t="str">
        <x:v>融资历史不可重建</x:v>
      </x:c>
      <x:c r="D10" s="20" t="str">
        <x:v>冻结口径未识别融资轮，但识别1笔股权转让，对价下限1,462.71万元。</x:v>
      </x:c>
      <x:c r="E10" s="20" t="str">
        <x:v>可用于解释为什么null、0和STRUCTURAL_NA必须分开。</x:v>
      </x:c>
      <x:c r="F10" s="20" t="str">
        <x:v>0轮不表示未融资；融资金额、金额对数及转让/融资比保持不可计算。</x:v>
      </x:c>
    </x:row>
    <x:row r="11" ht="95" customHeight="1">
      <x:c r="A11" s="26" t="str">
        <x:v>920100</x:v>
      </x:c>
      <x:c r="B11" s="20" t="str">
        <x:v>三协电机</x:v>
      </x:c>
      <x:c r="C11" s="20" t="str">
        <x:v>定向发行引入PE/VC</x:v>
      </x:c>
      <x:c r="D11" s="20" t="str">
        <x:v>2轮融资，融资下限4,097.49万元；2022年两家确认PE/VC通过定向发行进入。</x:v>
      </x:c>
      <x:c r="E11" s="20" t="str">
        <x:v>稳正景明9.9909%、稳正长泽5.0233%，同轮合计15.0142%。</x:v>
      </x:c>
      <x:c r="F11" s="20" t="str">
        <x:v>Week 9冻结警告不改写；Stage 6原始发行报告另行提供补证。</x:v>
      </x:c>
    </x:row>
    <x:row r="12" ht="95" customHeight="1">
      <x:c r="A12" s="27" t="str">
        <x:v>920116</x:v>
      </x:c>
      <x:c r="B12" s="21" t="str">
        <x:v>星图测控</x:v>
      </x:c>
      <x:c r="C12" s="21" t="str">
        <x:v>单轮多人共同融资</x:v>
      </x:c>
      <x:c r="D12" s="21" t="str">
        <x:v>1轮融资、已知融资下限4,725万元，3个融资投资方，未确认PE/VC。</x:v>
      </x:c>
      <x:c r="E12" s="21" t="str">
        <x:v>可用于投资者密度和单轮融资案例。</x:v>
      </x:c>
      <x:c r="F12" s="21" t="str">
        <x:v>1轮无法计算融资跨度；主体名称映射限制继续有效。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5" hidden="0" customWidth="1"/>
    <x:col min="3" max="3" width="23" hidden="0" customWidth="1"/>
    <x:col min="4" max="4" width="16" hidden="0" customWidth="1"/>
    <x:col min="5" max="5" width="99" hidden="0" customWidth="1"/>
    <x:col min="6" max="6" width="38" hidden="0" customWidth="1"/>
  </x:cols>
  <x:sheetData>
    <x:row r="1" ht="30" customHeight="1">
      <x:c r="A1" s="3" t="str">
        <x:v>本样本能够支持的研究发现</x:v>
      </x:c>
      <x:c r="B1" s="3"/>
      <x:c r="C1" s="3"/>
      <x:c r="D1" s="3"/>
      <x:c r="E1" s="3"/>
      <x:c r="F1" s="3"/>
    </x:row>
    <x:row r="2" ht="44" customHeight="1">
      <x:c r="A2" s="7" t="str">
        <x:v>结果列使用画像、分组或敏感性工作表公式；所有发现均限制在当前八家公司。</x:v>
      </x:c>
      <x:c r="B2" s="7"/>
      <x:c r="C2" s="7"/>
      <x:c r="D2" s="7"/>
      <x:c r="E2" s="7"/>
      <x:c r="F2" s="7"/>
    </x:row>
    <x:row r="4" ht="38" customHeight="1">
      <x:c r="A4" s="11" t="str">
        <x:v>发现ID</x:v>
      </x:c>
      <x:c r="B4" s="11" t="str">
        <x:v>发现</x:v>
      </x:c>
      <x:c r="C4" s="11" t="str">
        <x:v>结果</x:v>
      </x:c>
      <x:c r="D4" s="11" t="str">
        <x:v>单位</x:v>
      </x:c>
      <x:c r="E4" s="11" t="str">
        <x:v>解释边界</x:v>
      </x:c>
      <x:c r="F4" s="11" t="str">
        <x:v>结论状态</x:v>
      </x:c>
    </x:row>
    <x:row r="5" ht="83" customHeight="1">
      <x:c r="A5" s="19" t="str">
        <x:v>F01</x:v>
      </x:c>
      <x:c r="B5" s="19" t="str">
        <x:v>7家公司识别到至少一轮融资；影石创新的0轮仅代表历史不可重建。</x:v>
      </x:c>
      <x:c r="C5" s="19" t="n">
        <x:f>COUNTIF('八公司研究画像'!$D$5:$D$12,"&gt;0")</x:f>
        <x:v>7</x:v>
      </x:c>
      <x:c r="D5" s="19" t="str">
        <x:v>公司</x:v>
      </x:c>
      <x:c r="E5" s="19" t="str">
        <x:v>不能将0轮解释成从未融资。</x:v>
      </x:c>
      <x:c r="F5" s="19" t="str">
        <x:v>DESCRIPTIVE_SAMPLE_ONLY</x:v>
      </x:c>
    </x:row>
    <x:row r="6" ht="83" customHeight="1">
      <x:c r="A6" s="20" t="str">
        <x:v>F02</x:v>
      </x:c>
      <x:c r="B6" s="20" t="str">
        <x:v>融资金额下限对7家公司可计算；金额比较必须同时报告有效N和覆盖率。</x:v>
      </x:c>
      <x:c r="C6" s="20" t="n">
        <x:f>COUNTIF('八公司研究画像'!$F$5:$F$12,"VALID")</x:f>
        <x:v>7</x:v>
      </x:c>
      <x:c r="D6" s="20" t="str">
        <x:v>公司</x:v>
      </x:c>
      <x:c r="E6" s="20" t="str">
        <x:v>云汉仅3/7轮披露金额；金额均为下限。</x:v>
      </x:c>
      <x:c r="F6" s="20" t="str">
        <x:v>DESCRIPTIVE_WITH_COVERAGE_GATE</x:v>
      </x:c>
    </x:row>
    <x:row r="7" ht="83" customHeight="1">
      <x:c r="A7" s="20" t="str">
        <x:v>F03</x:v>
      </x:c>
      <x:c r="B7" s="20" t="str">
        <x:v>确认PE/VC支持的公司有3家，其余5家在冻结口径下未确认。</x:v>
      </x:c>
      <x:c r="C7" s="20" t="n">
        <x:f>COUNTIF('八公司研究画像'!$G$5:$G$12,1)</x:f>
        <x:v>3</x:v>
      </x:c>
      <x:c r="D7" s="20" t="str">
        <x:v>公司</x:v>
      </x:c>
      <x:c r="E7" s="20" t="str">
        <x:v>未确认PE/VC不等于没有任何外部投资。</x:v>
      </x:c>
      <x:c r="F7" s="20" t="str">
        <x:v>DESCRIPTIVE_SAMPLE_ONLY</x:v>
      </x:c>
    </x:row>
    <x:row r="8" ht="83" customHeight="1">
      <x:c r="A8" s="20" t="str">
        <x:v>F04</x:v>
      </x:c>
      <x:c r="B8" s="20" t="str">
        <x:v>PE/VC组平均融资轮数高于未确认组，但该结果只产生研究假设。</x:v>
      </x:c>
      <x:c r="C8" s="47" t="n">
        <x:f>'PEVC分组比较'!D5-'PEVC分组比较'!D6</x:f>
        <x:v>2.2666666666666666</x:v>
      </x:c>
      <x:c r="D8" s="20" t="str">
        <x:v>轮</x:v>
      </x:c>
      <x:c r="E8" s="20" t="str">
        <x:v>3对5比较，不进行显著性或因果解释。</x:v>
      </x:c>
      <x:c r="F8" s="20" t="str">
        <x:v>HYPOTHESIS_GENERATING</x:v>
      </x:c>
    </x:row>
    <x:row r="9" ht="83" customHeight="1">
      <x:c r="A9" s="20" t="str">
        <x:v>F05</x:v>
      </x:c>
      <x:c r="B9" s="20" t="str">
        <x:v>剔除云汉后，PE/VC组平均融资投资方数接近未确认组。</x:v>
      </x:c>
      <x:c r="C9" s="47" t="n">
        <x:f>'云汉个案敏感性'!G8-'云汉个案敏感性'!G9</x:f>
        <x:v>0.19999999999999996</x:v>
      </x:c>
      <x:c r="D9" s="20" t="str">
        <x:v>个</x:v>
      </x:c>
      <x:c r="E9" s="20" t="str">
        <x:v>说明主体广度差异受到单一公司的显著影响。</x:v>
      </x:c>
      <x:c r="F9" s="20" t="str">
        <x:v>SENSITIVITY_REQUIRED</x:v>
      </x:c>
    </x:row>
    <x:row r="10" ht="83" customHeight="1">
      <x:c r="A10" s="20" t="str">
        <x:v>F06</x:v>
      </x:c>
      <x:c r="B10" s="20" t="str">
        <x:v>云汉20笔股权转让主导PE/VC组转让均值；剔除后方向反转。</x:v>
      </x:c>
      <x:c r="C10" s="20" t="n">
        <x:f>'八公司研究画像'!N5</x:f>
        <x:v>20</x:v>
      </x:c>
      <x:c r="D10" s="20" t="str">
        <x:v>笔</x:v>
      </x:c>
      <x:c r="E10" s="20" t="str">
        <x:v>一级融资与老股转让必须分开。</x:v>
      </x:c>
      <x:c r="F10" s="20" t="str">
        <x:v>OUTLIER_SENSITIVE</x:v>
      </x:c>
    </x:row>
    <x:row r="11" ht="83" customHeight="1">
      <x:c r="A11" s="20" t="str">
        <x:v>F07</x:v>
      </x:c>
      <x:c r="B11" s="20" t="str">
        <x:v>三个PE/VC公司可以形成同轮投资者持股强度案例。</x:v>
      </x:c>
      <x:c r="C11" s="20" t="n">
        <x:f>COUNTIF('八公司研究画像'!$R$5:$R$12,"&gt;0")</x:f>
        <x:v>3</x:v>
      </x:c>
      <x:c r="D11" s="20" t="str">
        <x:v>公司</x:v>
      </x:c>
      <x:c r="E11" s="20" t="str">
        <x:v>比例只属于对应交易时点。</x:v>
      </x:c>
      <x:c r="F11" s="20" t="str">
        <x:v>CASE_COMPARATIVE</x:v>
      </x:c>
    </x:row>
    <x:row r="12" ht="83" customHeight="1">
      <x:c r="A12" s="21" t="str">
        <x:v>F08</x:v>
      </x:c>
      <x:c r="B12" s="21" t="str">
        <x:v>云汉2015年B轮仍有5项正式停止；Stage 6整体还有19条不可计算路径。</x:v>
      </x:c>
      <x:c r="C12" s="21" t="n">
        <x:v>5</x:v>
      </x:c>
      <x:c r="D12" s="21" t="str">
        <x:v>项</x:v>
      </x:c>
      <x:c r="E12" s="21" t="str">
        <x:v>缺失不补0，不使用后续快照倒推。</x:v>
      </x:c>
      <x:c r="F12" s="21" t="str">
        <x:v>EVIDENCE_BOUNDARY</x:v>
      </x:c>
    </x:row>
  </x:sheetData>
  <x:mergeCells>
    <x:mergeCell ref="A1:F1"/>
    <x:mergeCell ref="A2:F2"/>
  </x:mergeCells>
  <x:conditionalFormatting sqref="F5:F12">
    <x:cfRule type="containsText" dxfId="7" priority="1" operator="containsText" text="OUTLIER"/>
    <x:cfRule type="containsText" dxfId="8" priority="2" operator="containsText" text="EVIDENCE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53" hidden="0" customWidth="1"/>
    <x:col min="3" max="3" width="31" hidden="0" customWidth="1"/>
    <x:col min="4" max="4" width="95" hidden="0" customWidth="1"/>
    <x:col min="5" max="5" width="101" hidden="0" customWidth="1"/>
  </x:cols>
  <x:sheetData>
    <x:row r="1" ht="30" customHeight="1">
      <x:c r="A1" s="3" t="str">
        <x:v>下一阶段：第九、第十家公司扩展性验证</x:v>
      </x:c>
      <x:c r="B1" s="3"/>
      <x:c r="C1" s="3"/>
      <x:c r="D1" s="3"/>
      <x:c r="E1" s="3"/>
    </x:row>
    <x:row r="2" ht="44" customHeight="1">
      <x:c r="A2" s="7" t="str">
        <x:v>八家公司描述分析完成后，下一步应检验已有Schema、32变量与证据规则能否覆盖新增公司。</x:v>
      </x:c>
      <x:c r="B2" s="7"/>
      <x:c r="C2" s="7"/>
      <x:c r="D2" s="7"/>
      <x:c r="E2" s="7"/>
    </x:row>
    <x:row r="4" ht="38" customHeight="1">
      <x:c r="A4" s="11" t="str">
        <x:v>闸门ID</x:v>
      </x:c>
      <x:c r="B4" s="11" t="str">
        <x:v>事项</x:v>
      </x:c>
      <x:c r="C4" s="11" t="str">
        <x:v>状态</x:v>
      </x:c>
      <x:c r="D4" s="11" t="str">
        <x:v>当前结论</x:v>
      </x:c>
      <x:c r="E4" s="11" t="str">
        <x:v>进入条件/边界</x:v>
      </x:c>
    </x:row>
    <x:row r="5" ht="76" customHeight="1">
      <x:c r="A5" s="19" t="str">
        <x:v>G01</x:v>
      </x:c>
      <x:c r="B5" s="19" t="str">
        <x:v>Stage 8八家公司描述分析</x:v>
      </x:c>
      <x:c r="C5" s="19" t="str">
        <x:v>COMPLETED</x:v>
      </x:c>
      <x:c r="D5" s="19" t="str">
        <x:v>全样本融资、PE/VC、转让、质量画像和敏感性分析已完成</x:v>
      </x:c>
      <x:c r="E5" s="19" t="str">
        <x:v>进入现有体系的新增公司扩展性验证</x:v>
      </x:c>
    </x:row>
    <x:row r="6" ht="76" customHeight="1">
      <x:c r="A6" s="20" t="str">
        <x:v>G02</x:v>
      </x:c>
      <x:c r="B6" s="20" t="str">
        <x:v>Stage 9第九家公司同类型盲测</x:v>
      </x:c>
      <x:c r="C6" s="20" t="str">
        <x:v>NEXT_STAGE</x:v>
      </x:c>
      <x:c r="D6" s="20" t="str">
        <x:v>选择与原样本融资结构相近的新公司，先按冻结Schema和32变量处理</x:v>
      </x:c>
      <x:c r="E6" s="20" t="str">
        <x:v>不预先修改Week 8/Week 9冻结版本</x:v>
      </x:c>
    </x:row>
    <x:row r="7" ht="76" customHeight="1">
      <x:c r="A7" s="20" t="str">
        <x:v>G03</x:v>
      </x:c>
      <x:c r="B7" s="20" t="str">
        <x:v>Stage 10第十家公司边界盲测</x:v>
      </x:c>
      <x:c r="C7" s="20" t="str">
        <x:v>AFTER_STAGE9</x:v>
      </x:c>
      <x:c r="D7" s="20" t="str">
        <x:v>选择融资结构明显不同的新公司，记录无法覆盖字段和路径</x:v>
      </x:c>
      <x:c r="E7" s="20" t="str">
        <x:v>区分直接复用、需要扩展、需要修改</x:v>
      </x:c>
    </x:row>
    <x:row r="8" ht="76" customHeight="1">
      <x:c r="A8" s="21" t="str">
        <x:v>G04</x:v>
      </x:c>
      <x:c r="B8" s="21" t="str">
        <x:v>代表性公司最终选择</x:v>
      </x:c>
      <x:c r="C8" s="21" t="str">
        <x:v>DEFERRED</x:v>
      </x:c>
      <x:c r="D8" s="21" t="str">
        <x:v>等新增公司验证和八家公司成果稳定后再决定</x:v>
      </x:c>
      <x:c r="E8" s="21" t="str">
        <x:v>不能把现有三家PE/VC公司自动称为代表性样本</x:v>
      </x:c>
    </x:row>
  </x:sheetData>
  <x:mergeCells>
    <x:mergeCell ref="A1:E1"/>
    <x:mergeCell ref="A2:E2"/>
  </x:mergeCells>
  <x:conditionalFormatting sqref="C5:C8">
    <x:cfRule type="containsText" dxfId="9" priority="1" operator="containsText" text="COMPLETED"/>
    <x:cfRule type="containsText" dxfId="10" priority="2" operator="containsText" text="NEXT_STAGE"/>
    <x:cfRule type="containsText" dxfId="11" priority="3" operator="containsText" text="DEFERRED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55" hidden="0" customWidth="1"/>
    <x:col min="3" max="3" width="28" hidden="0" customWidth="1"/>
    <x:col min="4" max="4" width="28" hidden="0" customWidth="1"/>
    <x:col min="5" max="5" width="17" hidden="0" customWidth="1"/>
    <x:col min="6" max="6" width="90" hidden="0" customWidth="1"/>
  </x:cols>
  <x:sheetData>
    <x:row r="1" ht="30" customHeight="1">
      <x:c r="A1" s="3" t="str">
        <x:v>Stage 8验收检查</x:v>
      </x:c>
      <x:c r="B1" s="3"/>
      <x:c r="C1" s="3"/>
      <x:c r="D1" s="3"/>
      <x:c r="E1" s="3"/>
      <x:c r="F1" s="3"/>
    </x:row>
    <x:row r="2" ht="44" customHeight="1">
      <x:c r="A2" s="7" t="str">
        <x:v>18项检查覆盖八家公司、分组口径、比例事件、停止项、影石null和云汉金额覆盖率。</x:v>
      </x:c>
      <x:c r="B2" s="7"/>
      <x:c r="C2" s="7"/>
      <x:c r="D2" s="7"/>
      <x:c r="E2" s="7"/>
      <x:c r="F2" s="7"/>
    </x:row>
    <x:row r="4" ht="38" customHeight="1">
      <x:c r="A4" s="11" t="str">
        <x:v>检查ID</x:v>
      </x:c>
      <x:c r="B4" s="11" t="str">
        <x:v>检查项目</x:v>
      </x:c>
      <x:c r="C4" s="11" t="str">
        <x:v>实际值</x:v>
      </x:c>
      <x:c r="D4" s="11" t="str">
        <x:v>预期值</x:v>
      </x:c>
      <x:c r="E4" s="11" t="str">
        <x:v>状态</x:v>
      </x:c>
      <x:c r="F4" s="11" t="str">
        <x:v>依据</x:v>
      </x:c>
    </x:row>
    <x:row r="5" ht="48" customHeight="1">
      <x:c r="A5" s="19" t="str">
        <x:v>C01</x:v>
      </x:c>
      <x:c r="B5" s="19" t="str">
        <x:v>八家公司样本</x:v>
      </x:c>
      <x:c r="C5" s="19" t="n">
        <x:v>8</x:v>
      </x:c>
      <x:c r="D5" s="19" t="n">
        <x:v>8</x:v>
      </x:c>
      <x:c r="E5" s="19" t="str">
        <x:v>PASS</x:v>
      </x:c>
      <x:c r="F5" s="19" t="str">
        <x:v>Week 8公司主表</x:v>
      </x:c>
    </x:row>
    <x:row r="6" ht="48" customHeight="1">
      <x:c r="A6" s="20" t="str">
        <x:v>C02</x:v>
      </x:c>
      <x:c r="B6" s="20" t="str">
        <x:v>冻结公司—变量记录</x:v>
      </x:c>
      <x:c r="C6" s="20" t="n">
        <x:v>256</x:v>
      </x:c>
      <x:c r="D6" s="20" t="n">
        <x:v>256</x:v>
      </x:c>
      <x:c r="E6" s="20" t="str">
        <x:v>PASS</x:v>
      </x:c>
      <x:c r="F6" s="20" t="str">
        <x:v>8×32</x:v>
      </x:c>
    </x:row>
    <x:row r="7" ht="48" customHeight="1">
      <x:c r="A7" s="20" t="str">
        <x:v>C03</x:v>
      </x:c>
      <x:c r="B7" s="20" t="str">
        <x:v>已识别融资公司</x:v>
      </x:c>
      <x:c r="C7" s="20" t="n">
        <x:v>7</x:v>
      </x:c>
      <x:c r="D7" s="20" t="n">
        <x:v>7</x:v>
      </x:c>
      <x:c r="E7" s="20" t="str">
        <x:v>PASS</x:v>
      </x:c>
      <x:c r="F7" s="20" t="str">
        <x:v>0轮公司须附历史边界</x:v>
      </x:c>
    </x:row>
    <x:row r="8" ht="48" customHeight="1">
      <x:c r="A8" s="20" t="str">
        <x:v>C04</x:v>
      </x:c>
      <x:c r="B8" s="20" t="str">
        <x:v>融资金额有效公司</x:v>
      </x:c>
      <x:c r="C8" s="20" t="n">
        <x:v>7</x:v>
      </x:c>
      <x:c r="D8" s="20" t="n">
        <x:v>7</x:v>
      </x:c>
      <x:c r="E8" s="20" t="str">
        <x:v>PASS</x:v>
      </x:c>
      <x:c r="F8" s="20" t="str">
        <x:v>影石保持null</x:v>
      </x:c>
    </x:row>
    <x:row r="9" ht="48" customHeight="1">
      <x:c r="A9" s="20" t="str">
        <x:v>C05</x:v>
      </x:c>
      <x:c r="B9" s="20" t="str">
        <x:v>确认PE/VC公司</x:v>
      </x:c>
      <x:c r="C9" s="20" t="n">
        <x:v>3</x:v>
      </x:c>
      <x:c r="D9" s="20" t="n">
        <x:v>3</x:v>
      </x:c>
      <x:c r="E9" s="20" t="str">
        <x:v>PASS</x:v>
      </x:c>
      <x:c r="F9" s="20" t="str">
        <x:v>CV011=1</x:v>
      </x:c>
    </x:row>
    <x:row r="10" ht="48" customHeight="1">
      <x:c r="A10" s="20" t="str">
        <x:v>C06</x:v>
      </x:c>
      <x:c r="B10" s="20" t="str">
        <x:v>未确认PE/VC公司</x:v>
      </x:c>
      <x:c r="C10" s="20" t="n">
        <x:v>5</x:v>
      </x:c>
      <x:c r="D10" s="20" t="n">
        <x:v>5</x:v>
      </x:c>
      <x:c r="E10" s="20" t="str">
        <x:v>PASS</x:v>
      </x:c>
      <x:c r="F10" s="20" t="str">
        <x:v>CV011=0</x:v>
      </x:c>
    </x:row>
    <x:row r="11" ht="48" customHeight="1">
      <x:c r="A11" s="20" t="str">
        <x:v>C07</x:v>
      </x:c>
      <x:c r="B11" s="20" t="str">
        <x:v>唯一持股比例测量</x:v>
      </x:c>
      <x:c r="C11" s="20" t="n">
        <x:v>27</x:v>
      </x:c>
      <x:c r="D11" s="20" t="n">
        <x:v>27</x:v>
      </x:c>
      <x:c r="E11" s="20" t="str">
        <x:v>PASS</x:v>
      </x:c>
      <x:c r="F11" s="20" t="str">
        <x:v>Stage 6唯一测量</x:v>
      </x:c>
    </x:row>
    <x:row r="12" ht="48" customHeight="1">
      <x:c r="A12" s="20" t="str">
        <x:v>C08</x:v>
      </x:c>
      <x:c r="B12" s="20" t="str">
        <x:v>确认PE/VC比例测量</x:v>
      </x:c>
      <x:c r="C12" s="20" t="n">
        <x:v>16</x:v>
      </x:c>
      <x:c r="D12" s="20" t="n">
        <x:v>16</x:v>
      </x:c>
      <x:c r="E12" s="20" t="str">
        <x:v>PASS</x:v>
      </x:c>
      <x:c r="F12" s="20" t="str">
        <x:v>主体分类过滤</x:v>
      </x:c>
    </x:row>
    <x:row r="13" ht="48" customHeight="1">
      <x:c r="A13" s="20" t="str">
        <x:v>C09</x:v>
      </x:c>
      <x:c r="B13" s="20" t="str">
        <x:v>事件案例记录</x:v>
      </x:c>
      <x:c r="C13" s="20" t="n">
        <x:v>6</x:v>
      </x:c>
      <x:c r="D13" s="20" t="n">
        <x:v>6</x:v>
      </x:c>
      <x:c r="E13" s="20" t="str">
        <x:v>PASS</x:v>
      </x:c>
      <x:c r="F13" s="20" t="str">
        <x:v>5个完整+1个部分</x:v>
      </x:c>
    </x:row>
    <x:row r="14" ht="48" customHeight="1">
      <x:c r="A14" s="20" t="str">
        <x:v>C10</x:v>
      </x:c>
      <x:c r="B14" s="20" t="str">
        <x:v>完整PE/VC事件</x:v>
      </x:c>
      <x:c r="C14" s="20" t="n">
        <x:v>5</x:v>
      </x:c>
      <x:c r="D14" s="20" t="n">
        <x:v>5</x:v>
      </x:c>
      <x:c r="E14" s="20" t="str">
        <x:v>PASS</x:v>
      </x:c>
      <x:c r="F14" s="20" t="str">
        <x:v>同轮证据闭合</x:v>
      </x:c>
    </x:row>
    <x:row r="15" ht="48" customHeight="1">
      <x:c r="A15" s="20" t="str">
        <x:v>C11</x:v>
      </x:c>
      <x:c r="B15" s="20" t="str">
        <x:v>正式停止项</x:v>
      </x:c>
      <x:c r="C15" s="20" t="n">
        <x:v>5</x:v>
      </x:c>
      <x:c r="D15" s="20" t="n">
        <x:v>5</x:v>
      </x:c>
      <x:c r="E15" s="20" t="str">
        <x:v>PASS</x:v>
      </x:c>
      <x:c r="F15" s="20" t="str">
        <x:v>云汉2015B轮</x:v>
      </x:c>
    </x:row>
    <x:row r="16" ht="48" customHeight="1">
      <x:c r="A16" s="20" t="str">
        <x:v>C12</x:v>
      </x:c>
      <x:c r="B16" s="20" t="str">
        <x:v>Stage 6路径边</x:v>
      </x:c>
      <x:c r="C16" s="20" t="n">
        <x:v>69</x:v>
      </x:c>
      <x:c r="D16" s="20" t="n">
        <x:v>69</x:v>
      </x:c>
      <x:c r="E16" s="20" t="str">
        <x:v>PASS</x:v>
      </x:c>
      <x:c r="F16" s="20" t="str">
        <x:v>冻结+研究补充</x:v>
      </x:c>
    </x:row>
    <x:row r="17" ht="48" customHeight="1">
      <x:c r="A17" s="20" t="str">
        <x:v>C13</x:v>
      </x:c>
      <x:c r="B17" s="20" t="str">
        <x:v>不可计算路径</x:v>
      </x:c>
      <x:c r="C17" s="20" t="n">
        <x:v>19</x:v>
      </x:c>
      <x:c r="D17" s="20" t="n">
        <x:v>19</x:v>
      </x:c>
      <x:c r="E17" s="20" t="str">
        <x:v>PASS</x:v>
      </x:c>
      <x:c r="F17" s="20" t="str">
        <x:v>保留null</x:v>
      </x:c>
    </x:row>
    <x:row r="18" ht="48" customHeight="1">
      <x:c r="A18" s="20" t="str">
        <x:v>C14</x:v>
      </x:c>
      <x:c r="B18" s="20" t="str">
        <x:v>八家公司文字画像</x:v>
      </x:c>
      <x:c r="C18" s="20" t="n">
        <x:v>8</x:v>
      </x:c>
      <x:c r="D18" s="20" t="n">
        <x:v>8</x:v>
      </x:c>
      <x:c r="E18" s="20" t="str">
        <x:v>PASS</x:v>
      </x:c>
      <x:c r="F18" s="20" t="str">
        <x:v>不筛选代表性公司</x:v>
      </x:c>
    </x:row>
    <x:row r="19" ht="48" customHeight="1">
      <x:c r="A19" s="20" t="str">
        <x:v>C15</x:v>
      </x:c>
      <x:c r="B19" s="20" t="str">
        <x:v>敏感性排除对象</x:v>
      </x:c>
      <x:c r="C19" s="20" t="str">
        <x:v>301563</x:v>
      </x:c>
      <x:c r="D19" s="20" t="str">
        <x:v>301563</x:v>
      </x:c>
      <x:c r="E19" s="20" t="str">
        <x:v>PASS</x:v>
      </x:c>
      <x:c r="F19" s="20" t="str">
        <x:v>云汉芯城</x:v>
      </x:c>
    </x:row>
    <x:row r="20" ht="48" customHeight="1">
      <x:c r="A20" s="20" t="str">
        <x:v>C16</x:v>
      </x:c>
      <x:c r="B20" s="20" t="str">
        <x:v>影石金额保持null</x:v>
      </x:c>
      <x:c r="C20" s="20"/>
      <x:c r="D20" s="20"/>
      <x:c r="E20" s="20" t="str">
        <x:v>PASS</x:v>
      </x:c>
      <x:c r="F20" s="20" t="str">
        <x:v>NOT_COMPUTABLE</x:v>
      </x:c>
    </x:row>
    <x:row r="21" ht="48" customHeight="1">
      <x:c r="A21" s="20" t="str">
        <x:v>C17</x:v>
      </x:c>
      <x:c r="B21" s="20" t="str">
        <x:v>云汉金额覆盖率</x:v>
      </x:c>
      <x:c r="C21" s="20" t="n">
        <x:v>0.42857142857142855</x:v>
      </x:c>
      <x:c r="D21" s="20" t="n">
        <x:v>0.42857142857142855</x:v>
      </x:c>
      <x:c r="E21" s="20" t="str">
        <x:v>PASS</x:v>
      </x:c>
      <x:c r="F21" s="20" t="str">
        <x:v>已知3轮/共7轮</x:v>
      </x:c>
    </x:row>
    <x:row r="22" ht="48" customHeight="1">
      <x:c r="A22" s="21" t="str">
        <x:v>C18</x:v>
      </x:c>
      <x:c r="B22" s="21" t="str">
        <x:v>冻结输入只读</x:v>
      </x:c>
      <x:c r="C22" s="58" t="b">
        <x:v>1</x:v>
      </x:c>
      <x:c r="D22" s="58" t="b">
        <x:v>1</x:v>
      </x:c>
      <x:c r="E22" s="21" t="str">
        <x:v>PASS</x:v>
      </x:c>
      <x:c r="F22" s="21" t="str">
        <x:v>输出前后SHA-256复核</x:v>
      </x:c>
    </x:row>
  </x:sheetData>
  <x:mergeCells>
    <x:mergeCell ref="A1:F1"/>
    <x:mergeCell ref="A2:F2"/>
  </x:mergeCells>
  <x:conditionalFormatting sqref="E5:E22">
    <x:cfRule type="containsText" dxfId="12" priority="1" operator="containsText" text="PASS"/>
    <x:cfRule type="containsText" dxfId="13" priority="2" operator="containsText" text="FAIL"/>
  </x:conditionalFormatting>
  <x:pageMargins left="0.7" right="0.7" top="0.75" bottom="0.75" header="0.3" footer="0.3"/>
</x:worksheet>
</file>